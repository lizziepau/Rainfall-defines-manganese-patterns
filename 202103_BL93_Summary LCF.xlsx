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zzie\Dropbox\Stanford\Lab\Projects\Thesis_Hawaii\Data\XANES\202103_BL93\"/>
    </mc:Choice>
  </mc:AlternateContent>
  <xr:revisionPtr revIDLastSave="0" documentId="13_ncr:1_{C3075FFC-3F75-423B-B5D1-F15143003548}" xr6:coauthVersionLast="47" xr6:coauthVersionMax="47" xr10:uidLastSave="{00000000-0000-0000-0000-000000000000}"/>
  <bookViews>
    <workbookView xWindow="29190" yWindow="375" windowWidth="14400" windowHeight="14190" tabRatio="646" xr2:uid="{25076965-5014-4F14-928C-535EAF0CA6EC}"/>
  </bookViews>
  <sheets>
    <sheet name="3 component_summary" sheetId="1" r:id="rId1"/>
    <sheet name="P02_dry" sheetId="2" r:id="rId2"/>
    <sheet name="P02_wet" sheetId="3" r:id="rId3"/>
    <sheet name="P10_dry" sheetId="4" r:id="rId4"/>
    <sheet name="P10_wet" sheetId="5" r:id="rId5"/>
    <sheet name="P23_dry" sheetId="6" r:id="rId6"/>
    <sheet name="P23_wet" sheetId="7" r:id="rId7"/>
    <sheet name="P23 wet_redo" sheetId="14" r:id="rId8"/>
    <sheet name="P32_dry" sheetId="8" r:id="rId9"/>
    <sheet name="P32 dry_redo" sheetId="15" r:id="rId10"/>
    <sheet name="P32_wet" sheetId="9" r:id="rId11"/>
    <sheet name="P32 wet_redo" sheetId="16" r:id="rId12"/>
    <sheet name="P44_dry" sheetId="10" r:id="rId13"/>
    <sheet name="P44_wet" sheetId="11" r:id="rId14"/>
    <sheet name="P44 wet_redo" sheetId="17" r:id="rId15"/>
    <sheet name="gradient MAP" sheetId="13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83" i="1" l="1"/>
  <c r="I83" i="1"/>
  <c r="H83" i="1"/>
  <c r="G83" i="1"/>
  <c r="F83" i="1"/>
  <c r="E83" i="1"/>
  <c r="J65" i="1"/>
  <c r="I65" i="1"/>
  <c r="H65" i="1"/>
  <c r="G65" i="1"/>
  <c r="F65" i="1"/>
  <c r="E65" i="1"/>
  <c r="J53" i="1"/>
  <c r="I53" i="1"/>
  <c r="H53" i="1"/>
  <c r="G53" i="1"/>
  <c r="F53" i="1"/>
  <c r="E53" i="1"/>
  <c r="J41" i="1"/>
  <c r="I41" i="1"/>
  <c r="H41" i="1"/>
  <c r="G41" i="1"/>
  <c r="F41" i="1"/>
  <c r="E41" i="1"/>
  <c r="J77" i="1"/>
  <c r="I77" i="1"/>
  <c r="H77" i="1"/>
  <c r="H78" i="1" s="1"/>
  <c r="G77" i="1"/>
  <c r="F77" i="1"/>
  <c r="E77" i="1"/>
  <c r="J71" i="1"/>
  <c r="I71" i="1"/>
  <c r="H71" i="1"/>
  <c r="G71" i="1"/>
  <c r="F71" i="1"/>
  <c r="E71" i="1"/>
  <c r="J59" i="1"/>
  <c r="I59" i="1"/>
  <c r="H59" i="1"/>
  <c r="G59" i="1"/>
  <c r="F59" i="1"/>
  <c r="E59" i="1"/>
  <c r="J47" i="1"/>
  <c r="I47" i="1"/>
  <c r="H47" i="1"/>
  <c r="G47" i="1"/>
  <c r="F47" i="1"/>
  <c r="E47" i="1"/>
  <c r="J35" i="1"/>
  <c r="I35" i="1"/>
  <c r="H35" i="1"/>
  <c r="G35" i="1"/>
  <c r="G36" i="1" s="1"/>
  <c r="F35" i="1"/>
  <c r="E35" i="1"/>
  <c r="J29" i="1"/>
  <c r="I29" i="1"/>
  <c r="H29" i="1"/>
  <c r="G29" i="1"/>
  <c r="F29" i="1"/>
  <c r="E29" i="1"/>
  <c r="J23" i="1"/>
  <c r="I23" i="1"/>
  <c r="H23" i="1"/>
  <c r="G23" i="1"/>
  <c r="G24" i="1" s="1"/>
  <c r="F23" i="1"/>
  <c r="E23" i="1"/>
  <c r="J17" i="1"/>
  <c r="I17" i="1"/>
  <c r="H17" i="1"/>
  <c r="G17" i="1"/>
  <c r="F17" i="1"/>
  <c r="E17" i="1"/>
  <c r="J11" i="1"/>
  <c r="I11" i="1"/>
  <c r="H11" i="1"/>
  <c r="G11" i="1"/>
  <c r="F11" i="1"/>
  <c r="E11" i="1"/>
  <c r="J5" i="1"/>
  <c r="I5" i="1"/>
  <c r="H5" i="1"/>
  <c r="G5" i="1"/>
  <c r="F5" i="1"/>
  <c r="E5" i="1"/>
  <c r="F84" i="1" l="1"/>
  <c r="G84" i="1"/>
  <c r="H84" i="1"/>
  <c r="J84" i="1"/>
  <c r="I84" i="1"/>
  <c r="G66" i="1"/>
  <c r="H66" i="1"/>
  <c r="I66" i="1"/>
  <c r="F66" i="1"/>
  <c r="J66" i="1"/>
  <c r="G12" i="1"/>
  <c r="G60" i="1"/>
  <c r="G54" i="1"/>
  <c r="H54" i="1"/>
  <c r="I54" i="1"/>
  <c r="F54" i="1"/>
  <c r="J54" i="1"/>
  <c r="G78" i="1"/>
  <c r="F42" i="1"/>
  <c r="G42" i="1"/>
  <c r="H42" i="1"/>
  <c r="I42" i="1"/>
  <c r="J42" i="1"/>
  <c r="F12" i="1"/>
  <c r="F18" i="1"/>
  <c r="J18" i="1"/>
  <c r="J24" i="1"/>
  <c r="I12" i="1"/>
  <c r="G18" i="1"/>
  <c r="F30" i="1"/>
  <c r="F48" i="1"/>
  <c r="J48" i="1"/>
  <c r="F72" i="1"/>
  <c r="J72" i="1"/>
  <c r="J12" i="1"/>
  <c r="F24" i="1"/>
  <c r="G30" i="1"/>
  <c r="G48" i="1"/>
  <c r="I60" i="1"/>
  <c r="G72" i="1"/>
  <c r="H30" i="1"/>
  <c r="F60" i="1"/>
  <c r="J60" i="1"/>
  <c r="H24" i="1"/>
  <c r="I30" i="1"/>
  <c r="F36" i="1"/>
  <c r="J36" i="1"/>
  <c r="H60" i="1"/>
  <c r="H72" i="1"/>
  <c r="I78" i="1"/>
  <c r="I36" i="1"/>
  <c r="H12" i="1"/>
  <c r="H18" i="1"/>
  <c r="I24" i="1"/>
  <c r="J30" i="1"/>
  <c r="H48" i="1"/>
  <c r="I72" i="1"/>
  <c r="F78" i="1"/>
  <c r="J78" i="1"/>
  <c r="I18" i="1"/>
  <c r="H36" i="1"/>
  <c r="I48" i="1"/>
  <c r="F6" i="1"/>
  <c r="G6" i="1"/>
  <c r="H6" i="1"/>
  <c r="I6" i="1"/>
  <c r="J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Lizzie</author>
  </authors>
  <commentList>
    <comment ref="A26" authorId="0" shapeId="0" xr:uid="{B6060718-DDE8-4207-889F-BC47E541971F}">
      <text>
        <r>
          <rPr>
            <b/>
            <sz val="9"/>
            <color indexed="81"/>
            <rFont val="Tahoma"/>
            <charset val="1"/>
          </rPr>
          <t>Lizzie:</t>
        </r>
        <r>
          <rPr>
            <sz val="9"/>
            <color indexed="81"/>
            <rFont val="Tahoma"/>
            <charset val="1"/>
          </rPr>
          <t xml:space="preserve">
Juan says that the absorbance spectra of P23 dry looks like it contains Mn metal, indicating that it's contaminated with Mn metal, likely from the metal holder</t>
        </r>
      </text>
    </comment>
  </commentList>
</comments>
</file>

<file path=xl/sharedStrings.xml><?xml version="1.0" encoding="utf-8"?>
<sst xmlns="http://schemas.openxmlformats.org/spreadsheetml/2006/main" count="287" uniqueCount="125">
  <si>
    <t>Puanui Site</t>
  </si>
  <si>
    <t>R-factor (&gt;0.02)</t>
  </si>
  <si>
    <t>Standard</t>
  </si>
  <si>
    <t>Mn Composition</t>
  </si>
  <si>
    <t>Weight</t>
  </si>
  <si>
    <t>Mn2+</t>
  </si>
  <si>
    <t>Mn2+/3+</t>
  </si>
  <si>
    <t>Mn3+</t>
  </si>
  <si>
    <t>Mn3+/4+</t>
  </si>
  <si>
    <t>Mn4+</t>
  </si>
  <si>
    <t>Summary Data</t>
  </si>
  <si>
    <t>MAP</t>
  </si>
  <si>
    <t>LCF fit of 20210314_P02_dry_merge as flattened mu(E) from 6519 to 6589</t>
  </si>
  <si>
    <t>Fit included 188 data points and 2 variables, and approximately 57.866 measurements</t>
  </si>
  <si>
    <t>Weights sum to 1: yes</t>
  </si>
  <si>
    <t>Weights forced between 0 and 1: yes</t>
  </si>
  <si>
    <t>Overall e0 shift used: no</t>
  </si>
  <si>
    <t>Noise added to data: 0</t>
  </si>
  <si>
    <t>R-factor = 0.0067086</t>
  </si>
  <si>
    <t>Chi-square = 0.31136</t>
  </si>
  <si>
    <t>Reduced chi-square = 0.0016650</t>
  </si>
  <si>
    <t>.    standard             weight           e0</t>
  </si>
  <si>
    <t>========================================================</t>
  </si>
  <si>
    <t>.   Mn2-Rhodocrosite.dat.nor  0.138 (0.019)    0.000 (0.000)</t>
  </si>
  <si>
    <t>.   Mn32-Hausmannite.dat.nor  0.529 (0.009)    0.000 (0.000)</t>
  </si>
  <si>
    <t>.   mncl2_3.xmu           0.333 (0.021)    0.000 (0.000)</t>
  </si>
  <si>
    <t>.         sum ........... 1.000</t>
  </si>
  <si>
    <t>LCF fit of 20210314_P02_wet_merge as flattened mu(E) from 6519 to 6589</t>
  </si>
  <si>
    <t>R-factor = 0.0022286</t>
  </si>
  <si>
    <t>Chi-square = 0.09716</t>
  </si>
  <si>
    <t>Reduced chi-square = 0.0005196</t>
  </si>
  <si>
    <t>.   BULK175_MnK_LP_Lithiophorite_DEC21_038_001.xdi.nor  0.675 (0.009)    0.000 (0.000)</t>
  </si>
  <si>
    <t>.   BULK175_MnK_LP_Franklinite_DEC21_040_001.xdi.nor  0.235 (0.014)    0.000 (0.000)</t>
  </si>
  <si>
    <t>.   BULK175_MnK_LP_Rhodo_DEC21_035_001.xdi.nor  0.090 (0.018)    0.000 (0.000)</t>
  </si>
  <si>
    <t>LCF fit of 20210314_P10_dry_merge as flattened mu(E) from 6519 to 6589</t>
  </si>
  <si>
    <t>R-factor = 0.0022345</t>
  </si>
  <si>
    <t>Chi-square = 0.09490</t>
  </si>
  <si>
    <t>Reduced chi-square = 0.0005075</t>
  </si>
  <si>
    <t>.   BULK175_MnK_LP_Mn3oxalate_DEC21_030_001.xdi.nor  0.182 (0.028)    0.000 (0.000)</t>
  </si>
  <si>
    <t>.   BULK175_MnK_LP_Lithiophorite_DEC21_038_001.xdi.nor  0.145 (0.017)    0.000 (0.000)</t>
  </si>
  <si>
    <t>.   BULK175_MnK_LP_Franklinite_DEC21_040_001.xdi.nor  0.673 (0.012)    0.000 (0.000)</t>
  </si>
  <si>
    <t>LCF fit of 20210314_P10_wet_merge as flattened mu(E) from 6519 to 6589</t>
  </si>
  <si>
    <t>R-factor = 0.0010043</t>
  </si>
  <si>
    <t>Chi-square = 0.04270</t>
  </si>
  <si>
    <t>Reduced chi-square = 0.0002283</t>
  </si>
  <si>
    <t>.   BULK175_MnK_LP_Lithiophorite_DEC21_038_001.xdi.nor  0.482 (0.006)    0.000 (0.000)</t>
  </si>
  <si>
    <t>.   BULK175_MnK_LP_Franklinite_DEC21_040_001.xdi.nor  0.487 (0.009)    0.000 (0.000)</t>
  </si>
  <si>
    <t>.   BULK175_MnK_LP_Rhodo_DEC21_035_001.xdi.nor  0.031 (0.012)    0.000 (0.000)</t>
  </si>
  <si>
    <t>LCF fit of 20210314_P23_dry_merge as flattened mu(E) from 6519 to 6589</t>
  </si>
  <si>
    <t>R-factor = 0.0155188</t>
  </si>
  <si>
    <t>Chi-square = 0.51393</t>
  </si>
  <si>
    <t>Reduced chi-square = 0.0027483</t>
  </si>
  <si>
    <t>.   BULK175_MnK_LP_Mn2oxide_DEC21_031_001.xdi.nor  0.333 (0.022)    0.000 (0.000)</t>
  </si>
  <si>
    <t>.   BULK175_MnK_LP_Franklinite_DEC21_040_001.xdi.nor  0.161 (0.029)    0.000 (0.000)</t>
  </si>
  <si>
    <t>.   BULK175_MnK_LP_Mn4oxide_DEC21_032_001.xdi.nor  0.506 (0.040)    0.000 (0.000)</t>
  </si>
  <si>
    <t>LCF fit of 20210314_P23_wet_merge as flattened mu(E) from 6519 to 6589</t>
  </si>
  <si>
    <t>R-factor = 0.0006054</t>
  </si>
  <si>
    <t>Chi-square = 0.02593</t>
  </si>
  <si>
    <t>Reduced chi-square = 0.0001387</t>
  </si>
  <si>
    <t>.   BULK175_MnK_LP_Lithiophorite_DEC21_038_001.xdi.nor  0.485 (0.050)    0.000 (0.000)</t>
  </si>
  <si>
    <t>.   BULK175_MnK_LP_Franklinite_DEC21_040_001.xdi.nor  0.328 (0.004)    0.000 (0.000)</t>
  </si>
  <si>
    <t>.   BULK175_MnK_LP_Manganite_DEC21_039_001.xdi.nor  0.187 (0.074)    0.000 (0.000)</t>
  </si>
  <si>
    <t>LCF fit of 20210314_P32_dry_merge as flattened mu(E) from 6519 to 6589</t>
  </si>
  <si>
    <t>Fit included 196 data points and 2 variables, and approximately 57.866 measurements</t>
  </si>
  <si>
    <t>R-factor = 0.0015341</t>
  </si>
  <si>
    <t>Chi-square = 0.06717</t>
  </si>
  <si>
    <t>Reduced chi-square = 0.0003427</t>
  </si>
  <si>
    <t>.   BULK175_MnK_LP_Mn3oxalate_DEC21_030_001.xdi.nor  0.220 (0.028)    0.000 (0.000)</t>
  </si>
  <si>
    <t>.   BULK175_MnK_LP_Franklinite_DEC21_040_001.xdi.nor  0.458 (0.011)    0.000 (0.000)</t>
  </si>
  <si>
    <t>.   BULK175_MnK_LP_Manganite_DEC21_039_001.xdi.nor  0.322 (0.015)    0.000 (0.000)</t>
  </si>
  <si>
    <t>LCF fit of 20210314_P32_wet_merge as flattened mu(E) from 6519 to 6589</t>
  </si>
  <si>
    <t>R-factor = 0.0008322</t>
  </si>
  <si>
    <t>Chi-square = 0.03537</t>
  </si>
  <si>
    <t>Reduced chi-square = 0.0001892</t>
  </si>
  <si>
    <t>.   Mn3-Manganite.dat.nor  0.409 (0.032)    0.000 (0.000)</t>
  </si>
  <si>
    <t>.   BULK175_MnK_LP_Franklinite_DEC21_040_001.xdi.nor  0.416 (0.008)    0.000 (0.000)</t>
  </si>
  <si>
    <t>.   BULK175_MnK_LP_Manganite_DEC21_039_001.xdi.nor  0.176 (0.016)    0.000 (0.000)</t>
  </si>
  <si>
    <t>LCF fit of 20210314_P44_dry_merge as flattened mu(E) from 6519 to 6589</t>
  </si>
  <si>
    <t>R-factor = 0.0007979</t>
  </si>
  <si>
    <t>Chi-square = 0.03409</t>
  </si>
  <si>
    <t>Reduced chi-square = 0.0001823</t>
  </si>
  <si>
    <t>.   BULK175_MnK_LP_Mn3oxalate_DEC21_030_001.xdi.nor  0.236 (0.020)    0.000 (0.000)</t>
  </si>
  <si>
    <t>.   BULK175_MnK_LP_Lithiophorite_DEC21_038_001.xdi.nor  0.416 (0.010)    0.000 (0.000)</t>
  </si>
  <si>
    <t>.   BULK175_MnK_LP_Franklinite_DEC21_040_001.xdi.nor  0.348 (0.007)    0.000 (0.000)</t>
  </si>
  <si>
    <t>LCF fit of 20210314_P44_wet_merge as flattened mu(E) from 6519 to 6589</t>
  </si>
  <si>
    <t>R-factor = 0.0010608</t>
  </si>
  <si>
    <t>Chi-square = 0.04526</t>
  </si>
  <si>
    <t>Reduced chi-square = 0.0002420</t>
  </si>
  <si>
    <t>.   BULK175_MnK_LP_Mn3oxalate_DEC21_030_001.xdi.nor  0.189 (0.024)    0.000 (0.000)</t>
  </si>
  <si>
    <t>.   BULK175_MnK_LP_Franklinite_DEC21_040_001.xdi.nor  0.384 (0.009)    0.000 (0.000)</t>
  </si>
  <si>
    <t>.   BULK175_MnK_LP_Manganite_DEC21_039_001.xdi.nor  0.426 (0.013)    0.000 (0.000)</t>
  </si>
  <si>
    <t>Total</t>
  </si>
  <si>
    <t>Percentage</t>
  </si>
  <si>
    <t>P02 dry</t>
  </si>
  <si>
    <t>P02 wet</t>
  </si>
  <si>
    <t>P10 dry</t>
  </si>
  <si>
    <t>P10 wet</t>
  </si>
  <si>
    <t>P23 dry</t>
  </si>
  <si>
    <t>P23 wet</t>
  </si>
  <si>
    <t>P32 dry</t>
  </si>
  <si>
    <t>P32 wet</t>
  </si>
  <si>
    <t>P44 dry</t>
  </si>
  <si>
    <t>P44 wet</t>
  </si>
  <si>
    <t>Mn2-Rhodocrosite</t>
  </si>
  <si>
    <t>Mn32-Hausmannite</t>
  </si>
  <si>
    <t>mncl2</t>
  </si>
  <si>
    <t>Lithiophorite</t>
  </si>
  <si>
    <t>Franklinite</t>
  </si>
  <si>
    <t>Rhodo</t>
  </si>
  <si>
    <t>Mn3oxalate</t>
  </si>
  <si>
    <t>Mn2oxide</t>
  </si>
  <si>
    <t>Mn4oxide</t>
  </si>
  <si>
    <t>Manganite</t>
  </si>
  <si>
    <t>Site</t>
  </si>
  <si>
    <t>GPS elevation (m)</t>
  </si>
  <si>
    <t>Rainfall from GPS (MAP mm/year)</t>
  </si>
  <si>
    <t>P23 wet redo</t>
  </si>
  <si>
    <t>P32 dry redo</t>
  </si>
  <si>
    <t>LCF fit of 20210314_P23_wet_merge as flattened mu(E) from 6519 to 6589
Fit included 188 data points and 2 variables, and approximately 57.866 measurements
Weights sum to 1: yes
Weights forced between 0 and 1: yes
Overall e0 shift used: no
Noise added to data: 0
R-factor = 0.0008824
Chi-square = 0.03836
Reduced chi-square = 0.0002051
.    standard             weight           e0
========================================================
.   BULK175_MnK_LP_Franklinite_DEC21_040_001.xdi.nor  0.312 (0.009)    0.000 (0.000)
.   BULK175_MnK_LP_Lithiophorite_DEC21_038_001.xdi.nor  0.647 (0.006)    0.000 (0.000)
.   Mn32-Hausmannite.dat.nor  0.041 (0.016)    0.000 (0.000)
.         sum ........... 1.000</t>
  </si>
  <si>
    <t>LCF fit of 20210314_P32_dry_merge as flattened mu(E) from 6519 to 6589
Fit included 196 data points and 2 variables, and approximately 57.866 measurements
Weights sum to 1: yes
Weights forced between 0 and 1: yes
Overall e0 shift used: no
Noise added to data: 0
R-factor = 0.0013004
Chi-square = 0.05690
Reduced chi-square = 0.0002903
.    standard             weight           e0
========================================================
.   BULK175_MnK_LP_Franklinite_DEC21_040_001.xdi.nor  0.443 (0.009)    0.000 (0.000)
.   BULK175_MnK_LP_Lithiophorite_DEC21_038_001.xdi.nor  0.305 (0.013)    0.000 (0.000)
.   BULK175_MnK_LP_Mn3oxalate_DEC21_030_001.xdi.nor  0.252 (0.025)    0.000 (0.000)
.         sum ........... 1.000</t>
  </si>
  <si>
    <t>P32 wet redo</t>
  </si>
  <si>
    <t>LCF fit of 20210314_P32_wet_merge as flattened mu(E) from 6519 to 6589
Fit included 188 data points and 2 variables, and approximately 57.866 measurements
Weights sum to 1: yes
Weights forced between 0 and 1: yes
Overall e0 shift used: no
Noise added to data: 0
R-factor = 0.0017058
Chi-square = 0.07362
Reduced chi-square = 0.0003937
.    standard             weight           e0
========================================================
.   BULK175_MnK_LP_Franklinite_DEC21_040_001.xdi.nor  0.460 (0.011)    0.000 (0.000)
.   BULK175_MnK_LP_Lithiophorite_DEC21_038_001.xdi.nor  0.296 (0.015)    0.000 (0.000)
.   BULK175_MnK_LP_Mn3oxalate_DEC21_030_001.xdi.nor  0.243 (0.029)    0.000 (0.000)
.         sum ........... 1.000</t>
  </si>
  <si>
    <t>P44 wet redo</t>
  </si>
  <si>
    <t>LCF fit of 20210314_P44_wet_merge as flattened mu(E) from 6519 to 6589
Fit included 188 data points and 2 variables, and approximately 57.866 measurements
Weights sum to 1: yes
Weights forced between 0 and 1: yes
Overall e0 shift used: no
Noise added to data: 0
R-factor = 0.0012281
Chi-square = 0.05319
Reduced chi-square = 0.0002845
.    standard             weight           e0
========================================================
.   BULK175_MnK_LP_Franklinite_DEC21_040_001.xdi.nor  0.379 (0.009)    0.000 (0.000)
.   BULK175_MnK_LP_Lithiophorite_DEC21_038_001.xdi.nor  0.391 (0.013)    0.000 (0.000)
.   BULK175_MnK_LP_Mn3oxalate_DEC21_030_001.xdi.nor  0.230 (0.024)    0.000 (0.000)
.         sum ........... 1.000</t>
  </si>
  <si>
    <t>Redo Summary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</si>
</sst>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1" fontId="0" fillId="0" borderId="0" xfId="0" applyNumberFormat="1"/>
    <xf numFmtId="0" fontId="0" fillId="2" borderId="0" xfId="0" applyFill="1"/>
    <xf numFmtId="0" fontId="0" fillId="0" borderId="0" xfId="0" applyFill="1"/>
    <xf numFmtId="165" fontId="0" fillId="0" borderId="0" xfId="0" applyNumberFormat="1" applyFill="1"/>
    <xf numFmtId="164" fontId="0" fillId="0" borderId="0" xfId="0" applyNumberFormat="1" applyFill="1"/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'3 component_summary'!$N$2</c:f>
              <c:strCache>
                <c:ptCount val="1"/>
                <c:pt idx="0">
                  <c:v>Mn2+</c:v>
                </c:pt>
              </c:strCache>
            </c:strRef>
          </c:tx>
          <c:spPr>
            <a:solidFill>
              <a:srgbClr val="00B0F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'3 component_summary'!$M$3:$M$12</c:f>
              <c:strCache>
                <c:ptCount val="10"/>
                <c:pt idx="0">
                  <c:v>P02 dry</c:v>
                </c:pt>
                <c:pt idx="1">
                  <c:v>P02 wet</c:v>
                </c:pt>
                <c:pt idx="2">
                  <c:v>P10 dry</c:v>
                </c:pt>
                <c:pt idx="3">
                  <c:v>P10 wet</c:v>
                </c:pt>
                <c:pt idx="4">
                  <c:v>P23 dry</c:v>
                </c:pt>
                <c:pt idx="5">
                  <c:v>P23 wet</c:v>
                </c:pt>
                <c:pt idx="6">
                  <c:v>P32 dry</c:v>
                </c:pt>
                <c:pt idx="7">
                  <c:v>P32 wet</c:v>
                </c:pt>
                <c:pt idx="8">
                  <c:v>P44 dry</c:v>
                </c:pt>
                <c:pt idx="9">
                  <c:v>P44 wet</c:v>
                </c:pt>
              </c:strCache>
            </c:strRef>
          </c:cat>
          <c:val>
            <c:numRef>
              <c:f>'3 component_summary'!$N$3:$N$12</c:f>
              <c:numCache>
                <c:formatCode>0.00</c:formatCode>
                <c:ptCount val="10"/>
                <c:pt idx="0">
                  <c:v>47.1</c:v>
                </c:pt>
                <c:pt idx="1">
                  <c:v>9</c:v>
                </c:pt>
                <c:pt idx="2">
                  <c:v>0</c:v>
                </c:pt>
                <c:pt idx="3">
                  <c:v>3.1</c:v>
                </c:pt>
                <c:pt idx="4">
                  <c:v>33.300000000000004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D6-4668-8E00-8EF65C92D348}"/>
            </c:ext>
          </c:extLst>
        </c:ser>
        <c:ser>
          <c:idx val="1"/>
          <c:order val="1"/>
          <c:tx>
            <c:strRef>
              <c:f>'3 component_summary'!$O$2</c:f>
              <c:strCache>
                <c:ptCount val="1"/>
                <c:pt idx="0">
                  <c:v>Mn2+/3+</c:v>
                </c:pt>
              </c:strCache>
            </c:strRef>
          </c:tx>
          <c:spPr>
            <a:solidFill>
              <a:srgbClr val="7030A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'3 component_summary'!$M$3:$M$12</c:f>
              <c:strCache>
                <c:ptCount val="10"/>
                <c:pt idx="0">
                  <c:v>P02 dry</c:v>
                </c:pt>
                <c:pt idx="1">
                  <c:v>P02 wet</c:v>
                </c:pt>
                <c:pt idx="2">
                  <c:v>P10 dry</c:v>
                </c:pt>
                <c:pt idx="3">
                  <c:v>P10 wet</c:v>
                </c:pt>
                <c:pt idx="4">
                  <c:v>P23 dry</c:v>
                </c:pt>
                <c:pt idx="5">
                  <c:v>P23 wet</c:v>
                </c:pt>
                <c:pt idx="6">
                  <c:v>P32 dry</c:v>
                </c:pt>
                <c:pt idx="7">
                  <c:v>P32 wet</c:v>
                </c:pt>
                <c:pt idx="8">
                  <c:v>P44 dry</c:v>
                </c:pt>
                <c:pt idx="9">
                  <c:v>P44 wet</c:v>
                </c:pt>
              </c:strCache>
            </c:strRef>
          </c:cat>
          <c:val>
            <c:numRef>
              <c:f>'3 component_summary'!$O$3:$O$12</c:f>
              <c:numCache>
                <c:formatCode>0.00</c:formatCode>
                <c:ptCount val="10"/>
                <c:pt idx="0">
                  <c:v>52.900000000000006</c:v>
                </c:pt>
                <c:pt idx="1">
                  <c:v>23.5</c:v>
                </c:pt>
                <c:pt idx="2">
                  <c:v>67.300000000000011</c:v>
                </c:pt>
                <c:pt idx="3">
                  <c:v>48.699999999999996</c:v>
                </c:pt>
                <c:pt idx="4">
                  <c:v>16.100000000000001</c:v>
                </c:pt>
                <c:pt idx="5">
                  <c:v>32.800000000000004</c:v>
                </c:pt>
                <c:pt idx="6">
                  <c:v>45.800000000000004</c:v>
                </c:pt>
                <c:pt idx="7">
                  <c:v>41.558441558441558</c:v>
                </c:pt>
                <c:pt idx="8">
                  <c:v>34.800000000000004</c:v>
                </c:pt>
                <c:pt idx="9">
                  <c:v>38.438438438438446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D6-4668-8E00-8EF65C92D348}"/>
            </c:ext>
          </c:extLst>
        </c:ser>
        <c:ser>
          <c:idx val="2"/>
          <c:order val="2"/>
          <c:tx>
            <c:strRef>
              <c:f>'3 component_summary'!$P$2</c:f>
              <c:strCache>
                <c:ptCount val="1"/>
                <c:pt idx="0">
                  <c:v>Mn3+</c:v>
                </c:pt>
              </c:strCache>
            </c:strRef>
          </c:tx>
          <c:spPr>
            <a:solidFill>
              <a:srgbClr val="C0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'3 component_summary'!$M$3:$M$12</c:f>
              <c:strCache>
                <c:ptCount val="10"/>
                <c:pt idx="0">
                  <c:v>P02 dry</c:v>
                </c:pt>
                <c:pt idx="1">
                  <c:v>P02 wet</c:v>
                </c:pt>
                <c:pt idx="2">
                  <c:v>P10 dry</c:v>
                </c:pt>
                <c:pt idx="3">
                  <c:v>P10 wet</c:v>
                </c:pt>
                <c:pt idx="4">
                  <c:v>P23 dry</c:v>
                </c:pt>
                <c:pt idx="5">
                  <c:v>P23 wet</c:v>
                </c:pt>
                <c:pt idx="6">
                  <c:v>P32 dry</c:v>
                </c:pt>
                <c:pt idx="7">
                  <c:v>P32 wet</c:v>
                </c:pt>
                <c:pt idx="8">
                  <c:v>P44 dry</c:v>
                </c:pt>
                <c:pt idx="9">
                  <c:v>P44 wet</c:v>
                </c:pt>
              </c:strCache>
            </c:strRef>
          </c:cat>
          <c:val>
            <c:numRef>
              <c:f>'3 component_summary'!$P$3:$P$12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18.2</c:v>
                </c:pt>
                <c:pt idx="3">
                  <c:v>0</c:v>
                </c:pt>
                <c:pt idx="4">
                  <c:v>0</c:v>
                </c:pt>
                <c:pt idx="5">
                  <c:v>18.7</c:v>
                </c:pt>
                <c:pt idx="6">
                  <c:v>54.2</c:v>
                </c:pt>
                <c:pt idx="7">
                  <c:v>58.441558441558449</c:v>
                </c:pt>
                <c:pt idx="8">
                  <c:v>23.6</c:v>
                </c:pt>
                <c:pt idx="9">
                  <c:v>61.561561561561575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7D6-4668-8E00-8EF65C92D348}"/>
            </c:ext>
          </c:extLst>
        </c:ser>
        <c:ser>
          <c:idx val="3"/>
          <c:order val="3"/>
          <c:tx>
            <c:strRef>
              <c:f>'3 component_summary'!$Q$2</c:f>
              <c:strCache>
                <c:ptCount val="1"/>
                <c:pt idx="0">
                  <c:v>Mn3+/4+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'3 component_summary'!$M$3:$M$12</c:f>
              <c:strCache>
                <c:ptCount val="10"/>
                <c:pt idx="0">
                  <c:v>P02 dry</c:v>
                </c:pt>
                <c:pt idx="1">
                  <c:v>P02 wet</c:v>
                </c:pt>
                <c:pt idx="2">
                  <c:v>P10 dry</c:v>
                </c:pt>
                <c:pt idx="3">
                  <c:v>P10 wet</c:v>
                </c:pt>
                <c:pt idx="4">
                  <c:v>P23 dry</c:v>
                </c:pt>
                <c:pt idx="5">
                  <c:v>P23 wet</c:v>
                </c:pt>
                <c:pt idx="6">
                  <c:v>P32 dry</c:v>
                </c:pt>
                <c:pt idx="7">
                  <c:v>P32 wet</c:v>
                </c:pt>
                <c:pt idx="8">
                  <c:v>P44 dry</c:v>
                </c:pt>
                <c:pt idx="9">
                  <c:v>P44 wet</c:v>
                </c:pt>
              </c:strCache>
            </c:strRef>
          </c:cat>
          <c:val>
            <c:numRef>
              <c:f>'3 component_summary'!$Q$3:$Q$12</c:f>
              <c:numCache>
                <c:formatCode>0.00</c:formatCode>
                <c:ptCount val="10"/>
                <c:pt idx="0">
                  <c:v>0</c:v>
                </c:pt>
                <c:pt idx="1">
                  <c:v>67.5</c:v>
                </c:pt>
                <c:pt idx="2">
                  <c:v>14.499999999999998</c:v>
                </c:pt>
                <c:pt idx="3">
                  <c:v>48.199999999999996</c:v>
                </c:pt>
                <c:pt idx="4">
                  <c:v>0</c:v>
                </c:pt>
                <c:pt idx="5">
                  <c:v>48.5</c:v>
                </c:pt>
                <c:pt idx="6">
                  <c:v>0</c:v>
                </c:pt>
                <c:pt idx="7">
                  <c:v>0</c:v>
                </c:pt>
                <c:pt idx="8">
                  <c:v>41.6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7D6-4668-8E00-8EF65C92D348}"/>
            </c:ext>
          </c:extLst>
        </c:ser>
        <c:ser>
          <c:idx val="4"/>
          <c:order val="4"/>
          <c:tx>
            <c:strRef>
              <c:f>'3 component_summary'!$R$2</c:f>
              <c:strCache>
                <c:ptCount val="1"/>
                <c:pt idx="0">
                  <c:v>Mn4+</c:v>
                </c:pt>
              </c:strCache>
            </c:strRef>
          </c:tx>
          <c:spPr>
            <a:solidFill>
              <a:srgbClr val="FFFF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'3 component_summary'!$M$3:$M$12</c:f>
              <c:strCache>
                <c:ptCount val="10"/>
                <c:pt idx="0">
                  <c:v>P02 dry</c:v>
                </c:pt>
                <c:pt idx="1">
                  <c:v>P02 wet</c:v>
                </c:pt>
                <c:pt idx="2">
                  <c:v>P10 dry</c:v>
                </c:pt>
                <c:pt idx="3">
                  <c:v>P10 wet</c:v>
                </c:pt>
                <c:pt idx="4">
                  <c:v>P23 dry</c:v>
                </c:pt>
                <c:pt idx="5">
                  <c:v>P23 wet</c:v>
                </c:pt>
                <c:pt idx="6">
                  <c:v>P32 dry</c:v>
                </c:pt>
                <c:pt idx="7">
                  <c:v>P32 wet</c:v>
                </c:pt>
                <c:pt idx="8">
                  <c:v>P44 dry</c:v>
                </c:pt>
                <c:pt idx="9">
                  <c:v>P44 wet</c:v>
                </c:pt>
              </c:strCache>
            </c:strRef>
          </c:cat>
          <c:val>
            <c:numRef>
              <c:f>'3 component_summary'!$R$3:$R$12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50.6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7D6-4668-8E00-8EF65C92D3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59747512"/>
        <c:axId val="859746200"/>
      </c:barChart>
      <c:catAx>
        <c:axId val="859747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9746200"/>
        <c:crosses val="autoZero"/>
        <c:auto val="1"/>
        <c:lblAlgn val="ctr"/>
        <c:lblOffset val="100"/>
        <c:noMultiLvlLbl val="0"/>
      </c:catAx>
      <c:valAx>
        <c:axId val="859746200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9747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'3 component_summary'!$N$2</c:f>
              <c:strCache>
                <c:ptCount val="1"/>
                <c:pt idx="0">
                  <c:v>Mn2+</c:v>
                </c:pt>
              </c:strCache>
            </c:strRef>
          </c:tx>
          <c:spPr>
            <a:solidFill>
              <a:srgbClr val="00B0F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('3 component_summary'!$L$4,'3 component_summary'!$L$6,'3 component_summary'!$L$8,'3 component_summary'!$L$10,'3 component_summary'!$L$12)</c:f>
              <c:numCache>
                <c:formatCode>0</c:formatCode>
                <c:ptCount val="5"/>
                <c:pt idx="0">
                  <c:v>3123.3532714799999</c:v>
                </c:pt>
                <c:pt idx="1">
                  <c:v>2238.2409668</c:v>
                </c:pt>
                <c:pt idx="2">
                  <c:v>1289.3337402300001</c:v>
                </c:pt>
                <c:pt idx="3">
                  <c:v>995.80053710899995</c:v>
                </c:pt>
                <c:pt idx="4">
                  <c:v>303.63504028300002</c:v>
                </c:pt>
              </c:numCache>
            </c:numRef>
          </c:cat>
          <c:val>
            <c:numRef>
              <c:f>('3 component_summary'!$N$4,'3 component_summary'!$N$4,'3 component_summary'!$N$6,'3 component_summary'!$N$8,'3 component_summary'!$N$10,'3 component_summary'!$N$12)</c:f>
              <c:numCache>
                <c:formatCode>0.00</c:formatCode>
                <c:ptCount val="6"/>
                <c:pt idx="0">
                  <c:v>9</c:v>
                </c:pt>
                <c:pt idx="1">
                  <c:v>9</c:v>
                </c:pt>
                <c:pt idx="2">
                  <c:v>3.1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AE-4928-B1F2-BE3CF3F53B37}"/>
            </c:ext>
          </c:extLst>
        </c:ser>
        <c:ser>
          <c:idx val="1"/>
          <c:order val="1"/>
          <c:tx>
            <c:strRef>
              <c:f>'3 component_summary'!$O$2</c:f>
              <c:strCache>
                <c:ptCount val="1"/>
                <c:pt idx="0">
                  <c:v>Mn2+/3+</c:v>
                </c:pt>
              </c:strCache>
            </c:strRef>
          </c:tx>
          <c:spPr>
            <a:solidFill>
              <a:srgbClr val="7030A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('3 component_summary'!$L$4,'3 component_summary'!$L$6,'3 component_summary'!$L$8,'3 component_summary'!$L$10,'3 component_summary'!$L$12)</c:f>
              <c:numCache>
                <c:formatCode>0</c:formatCode>
                <c:ptCount val="5"/>
                <c:pt idx="0">
                  <c:v>3123.3532714799999</c:v>
                </c:pt>
                <c:pt idx="1">
                  <c:v>2238.2409668</c:v>
                </c:pt>
                <c:pt idx="2">
                  <c:v>1289.3337402300001</c:v>
                </c:pt>
                <c:pt idx="3">
                  <c:v>995.80053710899995</c:v>
                </c:pt>
                <c:pt idx="4">
                  <c:v>303.63504028300002</c:v>
                </c:pt>
              </c:numCache>
            </c:numRef>
          </c:cat>
          <c:val>
            <c:numRef>
              <c:f>('3 component_summary'!$O$4,'3 component_summary'!$O$6,'3 component_summary'!$O$8,'3 component_summary'!$O$10,'3 component_summary'!$O$12)</c:f>
              <c:numCache>
                <c:formatCode>0.00</c:formatCode>
                <c:ptCount val="5"/>
                <c:pt idx="0">
                  <c:v>23.5</c:v>
                </c:pt>
                <c:pt idx="1">
                  <c:v>48.699999999999996</c:v>
                </c:pt>
                <c:pt idx="2">
                  <c:v>32.800000000000004</c:v>
                </c:pt>
                <c:pt idx="3">
                  <c:v>41.558441558441558</c:v>
                </c:pt>
                <c:pt idx="4">
                  <c:v>38.438438438438446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AE-4928-B1F2-BE3CF3F53B37}"/>
            </c:ext>
          </c:extLst>
        </c:ser>
        <c:ser>
          <c:idx val="2"/>
          <c:order val="2"/>
          <c:tx>
            <c:strRef>
              <c:f>'3 component_summary'!$P$2</c:f>
              <c:strCache>
                <c:ptCount val="1"/>
                <c:pt idx="0">
                  <c:v>Mn3+</c:v>
                </c:pt>
              </c:strCache>
            </c:strRef>
          </c:tx>
          <c:spPr>
            <a:solidFill>
              <a:srgbClr val="C0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('3 component_summary'!$L$4,'3 component_summary'!$L$6,'3 component_summary'!$L$8,'3 component_summary'!$L$10,'3 component_summary'!$L$12)</c:f>
              <c:numCache>
                <c:formatCode>0</c:formatCode>
                <c:ptCount val="5"/>
                <c:pt idx="0">
                  <c:v>3123.3532714799999</c:v>
                </c:pt>
                <c:pt idx="1">
                  <c:v>2238.2409668</c:v>
                </c:pt>
                <c:pt idx="2">
                  <c:v>1289.3337402300001</c:v>
                </c:pt>
                <c:pt idx="3">
                  <c:v>995.80053710899995</c:v>
                </c:pt>
                <c:pt idx="4">
                  <c:v>303.63504028300002</c:v>
                </c:pt>
              </c:numCache>
            </c:numRef>
          </c:cat>
          <c:val>
            <c:numRef>
              <c:f>('3 component_summary'!$P$4,'3 component_summary'!$P$6,'3 component_summary'!$P$8,'3 component_summary'!$P$10,'3 component_summary'!$P$12)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18.7</c:v>
                </c:pt>
                <c:pt idx="3">
                  <c:v>58.441558441558449</c:v>
                </c:pt>
                <c:pt idx="4">
                  <c:v>61.561561561561575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7AE-4928-B1F2-BE3CF3F53B37}"/>
            </c:ext>
          </c:extLst>
        </c:ser>
        <c:ser>
          <c:idx val="3"/>
          <c:order val="3"/>
          <c:tx>
            <c:strRef>
              <c:f>'3 component_summary'!$Q$2</c:f>
              <c:strCache>
                <c:ptCount val="1"/>
                <c:pt idx="0">
                  <c:v>Mn3+/4+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('3 component_summary'!$L$4,'3 component_summary'!$L$6,'3 component_summary'!$L$8,'3 component_summary'!$L$10,'3 component_summary'!$L$12)</c:f>
              <c:numCache>
                <c:formatCode>0</c:formatCode>
                <c:ptCount val="5"/>
                <c:pt idx="0">
                  <c:v>3123.3532714799999</c:v>
                </c:pt>
                <c:pt idx="1">
                  <c:v>2238.2409668</c:v>
                </c:pt>
                <c:pt idx="2">
                  <c:v>1289.3337402300001</c:v>
                </c:pt>
                <c:pt idx="3">
                  <c:v>995.80053710899995</c:v>
                </c:pt>
                <c:pt idx="4">
                  <c:v>303.63504028300002</c:v>
                </c:pt>
              </c:numCache>
            </c:numRef>
          </c:cat>
          <c:val>
            <c:numRef>
              <c:f>('3 component_summary'!$Q$4,'3 component_summary'!$Q$6,'3 component_summary'!$Q$8,'3 component_summary'!$Q$10,'3 component_summary'!$Q$12)</c:f>
              <c:numCache>
                <c:formatCode>0.00</c:formatCode>
                <c:ptCount val="5"/>
                <c:pt idx="0">
                  <c:v>67.5</c:v>
                </c:pt>
                <c:pt idx="1">
                  <c:v>48.199999999999996</c:v>
                </c:pt>
                <c:pt idx="2">
                  <c:v>48.5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7AE-4928-B1F2-BE3CF3F53B37}"/>
            </c:ext>
          </c:extLst>
        </c:ser>
        <c:ser>
          <c:idx val="4"/>
          <c:order val="4"/>
          <c:tx>
            <c:strRef>
              <c:f>'3 component_summary'!$R$2</c:f>
              <c:strCache>
                <c:ptCount val="1"/>
                <c:pt idx="0">
                  <c:v>Mn4+</c:v>
                </c:pt>
              </c:strCache>
            </c:strRef>
          </c:tx>
          <c:spPr>
            <a:solidFill>
              <a:srgbClr val="FFFF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('3 component_summary'!$L$4,'3 component_summary'!$L$6,'3 component_summary'!$L$8,'3 component_summary'!$L$10,'3 component_summary'!$L$12)</c:f>
              <c:numCache>
                <c:formatCode>0</c:formatCode>
                <c:ptCount val="5"/>
                <c:pt idx="0">
                  <c:v>3123.3532714799999</c:v>
                </c:pt>
                <c:pt idx="1">
                  <c:v>2238.2409668</c:v>
                </c:pt>
                <c:pt idx="2">
                  <c:v>1289.3337402300001</c:v>
                </c:pt>
                <c:pt idx="3">
                  <c:v>995.80053710899995</c:v>
                </c:pt>
                <c:pt idx="4">
                  <c:v>303.63504028300002</c:v>
                </c:pt>
              </c:numCache>
            </c:numRef>
          </c:cat>
          <c:val>
            <c:numRef>
              <c:f>('3 component_summary'!$R$4,'3 component_summary'!$R$6,'3 component_summary'!$R$8,'3 component_summary'!$R$10,'3 component_summary'!$R$12)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7AE-4928-B1F2-BE3CF3F53B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59747512"/>
        <c:axId val="859746200"/>
      </c:barChart>
      <c:catAx>
        <c:axId val="859747512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9746200"/>
        <c:crosses val="autoZero"/>
        <c:auto val="1"/>
        <c:lblAlgn val="ctr"/>
        <c:lblOffset val="100"/>
        <c:noMultiLvlLbl val="0"/>
      </c:catAx>
      <c:valAx>
        <c:axId val="859746200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9747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85724</xdr:colOff>
      <xdr:row>1</xdr:row>
      <xdr:rowOff>107950</xdr:rowOff>
    </xdr:from>
    <xdr:to>
      <xdr:col>26</xdr:col>
      <xdr:colOff>6349</xdr:colOff>
      <xdr:row>16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AA8F40-47CD-487F-3CBA-AD0501458B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82551</xdr:colOff>
      <xdr:row>16</xdr:row>
      <xdr:rowOff>177800</xdr:rowOff>
    </xdr:from>
    <xdr:to>
      <xdr:col>24</xdr:col>
      <xdr:colOff>546101</xdr:colOff>
      <xdr:row>31</xdr:row>
      <xdr:rowOff>158750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069E493-1724-4CC5-BCBD-B376F7FD77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18</xdr:col>
      <xdr:colOff>608838</xdr:colOff>
      <xdr:row>20</xdr:row>
      <xdr:rowOff>37643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27D93E-83A9-4278-0644-A24D9FA3DB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0"/>
          <a:ext cx="6095238" cy="365714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18</xdr:col>
      <xdr:colOff>608838</xdr:colOff>
      <xdr:row>20</xdr:row>
      <xdr:rowOff>37643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4F8E529-DC29-E5D5-DF1D-5844687A59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0"/>
          <a:ext cx="6095238" cy="365714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18</xdr:col>
      <xdr:colOff>608838</xdr:colOff>
      <xdr:row>20</xdr:row>
      <xdr:rowOff>37643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9D972E-1778-B882-1D3A-B3966EDE8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0"/>
          <a:ext cx="6095238" cy="365714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18</xdr:col>
      <xdr:colOff>608838</xdr:colOff>
      <xdr:row>20</xdr:row>
      <xdr:rowOff>37643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B92CC9-CE06-ED45-DA84-22389521E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0"/>
          <a:ext cx="6095238" cy="365714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18</xdr:col>
      <xdr:colOff>608838</xdr:colOff>
      <xdr:row>20</xdr:row>
      <xdr:rowOff>37643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E3FEE3-A406-6D63-63FF-E9E95C0AFD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0"/>
          <a:ext cx="6095238" cy="365714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18</xdr:col>
      <xdr:colOff>608838</xdr:colOff>
      <xdr:row>20</xdr:row>
      <xdr:rowOff>37643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7910F4-15BB-9B92-A973-B1ABDA116C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0"/>
          <a:ext cx="6095238" cy="365714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18</xdr:col>
      <xdr:colOff>608838</xdr:colOff>
      <xdr:row>20</xdr:row>
      <xdr:rowOff>47167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711370-4C1C-66AF-6679-C8B30E7E4A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0"/>
          <a:ext cx="6095238" cy="366666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18</xdr:col>
      <xdr:colOff>608838</xdr:colOff>
      <xdr:row>20</xdr:row>
      <xdr:rowOff>37643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A51EF7-8CF9-99D8-289C-A6DFEA6078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0"/>
          <a:ext cx="6095238" cy="3657143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18</xdr:col>
      <xdr:colOff>608838</xdr:colOff>
      <xdr:row>20</xdr:row>
      <xdr:rowOff>47167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E77496-3022-E603-DEF5-5DB2515D4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0"/>
          <a:ext cx="6095238" cy="366666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18</xdr:col>
      <xdr:colOff>608838</xdr:colOff>
      <xdr:row>20</xdr:row>
      <xdr:rowOff>37643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B507E6-485E-52A0-6E1C-10203A0BD0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0"/>
          <a:ext cx="6095238" cy="3657143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18</xdr:col>
      <xdr:colOff>608838</xdr:colOff>
      <xdr:row>20</xdr:row>
      <xdr:rowOff>47167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DF6633-9D9B-3DB8-CABB-7B82A9F46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0"/>
          <a:ext cx="6095238" cy="366666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18</xdr:col>
      <xdr:colOff>608838</xdr:colOff>
      <xdr:row>20</xdr:row>
      <xdr:rowOff>37643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635982-0254-BDBF-8822-49F60DF817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0"/>
          <a:ext cx="6095238" cy="3657143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18</xdr:col>
      <xdr:colOff>608838</xdr:colOff>
      <xdr:row>20</xdr:row>
      <xdr:rowOff>37643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445957-1EA4-FCFC-A4A4-5F2E61D2BA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0"/>
          <a:ext cx="6095238" cy="3657143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18</xdr:col>
      <xdr:colOff>608838</xdr:colOff>
      <xdr:row>20</xdr:row>
      <xdr:rowOff>50342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2DAE2A-17C0-193A-29A4-87875EC67A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0"/>
          <a:ext cx="6095238" cy="36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56CD6-A0D3-4A5D-B59B-464B6172F2DE}">
  <dimension ref="A1:AH306"/>
  <sheetViews>
    <sheetView tabSelected="1" topLeftCell="P1" workbookViewId="0">
      <pane ySplit="1" topLeftCell="A2" activePane="bottomLeft" state="frozen"/>
      <selection pane="bottomLeft" activeCell="AB21" sqref="AB21"/>
    </sheetView>
  </sheetViews>
  <sheetFormatPr defaultRowHeight="14.5" x14ac:dyDescent="0.35"/>
  <cols>
    <col min="1" max="1" width="11.90625" customWidth="1"/>
    <col min="2" max="2" width="14.6328125" customWidth="1"/>
    <col min="3" max="3" width="21.36328125" customWidth="1"/>
    <col min="4" max="4" width="17.453125" customWidth="1"/>
    <col min="13" max="13" width="10.54296875" customWidth="1"/>
  </cols>
  <sheetData>
    <row r="1" spans="1:3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M1" s="1" t="s">
        <v>10</v>
      </c>
      <c r="AC1" s="1" t="s">
        <v>124</v>
      </c>
    </row>
    <row r="2" spans="1:34" x14ac:dyDescent="0.35">
      <c r="A2" t="s">
        <v>93</v>
      </c>
      <c r="B2" s="2">
        <v>6.7086000000000003E-3</v>
      </c>
      <c r="C2" t="s">
        <v>103</v>
      </c>
      <c r="D2">
        <v>2</v>
      </c>
      <c r="E2">
        <v>0.13800000000000001</v>
      </c>
      <c r="F2">
        <v>0.13800000000000001</v>
      </c>
      <c r="G2" s="3"/>
      <c r="H2" s="3"/>
      <c r="I2" s="3"/>
      <c r="J2" s="3"/>
      <c r="L2" s="1" t="s">
        <v>11</v>
      </c>
      <c r="M2" s="1" t="s">
        <v>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AB2" s="1" t="s">
        <v>11</v>
      </c>
      <c r="AC2" s="1" t="s">
        <v>0</v>
      </c>
      <c r="AD2" s="1" t="s">
        <v>5</v>
      </c>
      <c r="AE2" s="1" t="s">
        <v>6</v>
      </c>
      <c r="AF2" s="1" t="s">
        <v>7</v>
      </c>
      <c r="AG2" s="1" t="s">
        <v>8</v>
      </c>
      <c r="AH2" s="1" t="s">
        <v>9</v>
      </c>
    </row>
    <row r="3" spans="1:34" x14ac:dyDescent="0.35">
      <c r="B3" s="2"/>
      <c r="C3" t="s">
        <v>104</v>
      </c>
      <c r="D3">
        <v>23</v>
      </c>
      <c r="E3">
        <v>0.52900000000000003</v>
      </c>
      <c r="F3" s="3"/>
      <c r="G3">
        <v>0.52900000000000003</v>
      </c>
      <c r="H3" s="3"/>
      <c r="I3" s="3"/>
      <c r="J3" s="3"/>
      <c r="L3" s="5">
        <v>3123.3532714799999</v>
      </c>
      <c r="M3" t="s">
        <v>93</v>
      </c>
      <c r="N3" s="4">
        <v>47.1</v>
      </c>
      <c r="O3" s="4">
        <v>52.900000000000006</v>
      </c>
      <c r="P3" s="4">
        <v>0</v>
      </c>
      <c r="Q3" s="4">
        <v>0</v>
      </c>
      <c r="R3" s="4">
        <v>0</v>
      </c>
      <c r="AB3" s="5">
        <v>3123.3532714799999</v>
      </c>
      <c r="AC3" t="s">
        <v>93</v>
      </c>
      <c r="AD3" s="4">
        <v>47.1</v>
      </c>
      <c r="AE3" s="4">
        <v>52.900000000000006</v>
      </c>
      <c r="AF3" s="4">
        <v>0</v>
      </c>
      <c r="AG3" s="4">
        <v>0</v>
      </c>
      <c r="AH3" s="4">
        <v>0</v>
      </c>
    </row>
    <row r="4" spans="1:34" x14ac:dyDescent="0.35">
      <c r="B4" s="2"/>
      <c r="C4" t="s">
        <v>105</v>
      </c>
      <c r="D4">
        <v>2</v>
      </c>
      <c r="E4">
        <v>0.33300000000000002</v>
      </c>
      <c r="F4">
        <v>0.33300000000000002</v>
      </c>
      <c r="G4" s="3"/>
      <c r="H4" s="3"/>
      <c r="I4" s="3"/>
      <c r="J4" s="3"/>
      <c r="L4" s="5">
        <v>3123.3532714799999</v>
      </c>
      <c r="M4" t="s">
        <v>94</v>
      </c>
      <c r="N4" s="4">
        <v>9</v>
      </c>
      <c r="O4" s="4">
        <v>23.5</v>
      </c>
      <c r="P4" s="4">
        <v>0</v>
      </c>
      <c r="Q4" s="4">
        <v>67.5</v>
      </c>
      <c r="R4" s="4">
        <v>0</v>
      </c>
      <c r="AB4" s="5">
        <v>3123.3532714799999</v>
      </c>
      <c r="AC4" t="s">
        <v>94</v>
      </c>
      <c r="AD4" s="4">
        <v>9</v>
      </c>
      <c r="AE4" s="4">
        <v>23.5</v>
      </c>
      <c r="AF4" s="4">
        <v>0</v>
      </c>
      <c r="AG4" s="4">
        <v>67.5</v>
      </c>
      <c r="AH4" s="4">
        <v>0</v>
      </c>
    </row>
    <row r="5" spans="1:34" x14ac:dyDescent="0.35">
      <c r="B5" s="2"/>
      <c r="C5" t="s">
        <v>91</v>
      </c>
      <c r="E5" s="3">
        <f t="shared" ref="E5:J5" si="0">SUM(E2:E4)</f>
        <v>1</v>
      </c>
      <c r="F5" s="3">
        <f t="shared" si="0"/>
        <v>0.47100000000000003</v>
      </c>
      <c r="G5" s="3">
        <f t="shared" si="0"/>
        <v>0.52900000000000003</v>
      </c>
      <c r="H5" s="3">
        <f t="shared" si="0"/>
        <v>0</v>
      </c>
      <c r="I5" s="3">
        <f t="shared" si="0"/>
        <v>0</v>
      </c>
      <c r="J5" s="3">
        <f t="shared" si="0"/>
        <v>0</v>
      </c>
      <c r="L5" s="5">
        <v>2238.2409668</v>
      </c>
      <c r="M5" t="s">
        <v>95</v>
      </c>
      <c r="N5" s="4">
        <v>0</v>
      </c>
      <c r="O5" s="4">
        <v>67.300000000000011</v>
      </c>
      <c r="P5" s="4">
        <v>18.2</v>
      </c>
      <c r="Q5" s="4">
        <v>14.499999999999998</v>
      </c>
      <c r="R5" s="4">
        <v>0</v>
      </c>
      <c r="AB5" s="5">
        <v>2238.2409668</v>
      </c>
      <c r="AC5" t="s">
        <v>95</v>
      </c>
      <c r="AD5" s="4">
        <v>0</v>
      </c>
      <c r="AE5" s="4">
        <v>67.300000000000011</v>
      </c>
      <c r="AF5" s="4">
        <v>18.2</v>
      </c>
      <c r="AG5" s="4">
        <v>14.499999999999998</v>
      </c>
      <c r="AH5" s="4">
        <v>0</v>
      </c>
    </row>
    <row r="6" spans="1:34" x14ac:dyDescent="0.35">
      <c r="B6" s="2"/>
      <c r="C6" t="s">
        <v>92</v>
      </c>
      <c r="E6" s="3"/>
      <c r="F6" s="3">
        <f>F5/E5*100</f>
        <v>47.1</v>
      </c>
      <c r="G6" s="3">
        <f>G5/E5*100</f>
        <v>52.900000000000006</v>
      </c>
      <c r="H6" s="3">
        <f>H5/E5*100</f>
        <v>0</v>
      </c>
      <c r="I6" s="3">
        <f>I5/E5*100</f>
        <v>0</v>
      </c>
      <c r="J6" s="3">
        <f>J5/E5*100</f>
        <v>0</v>
      </c>
      <c r="L6" s="5">
        <v>2238.2409668</v>
      </c>
      <c r="M6" t="s">
        <v>96</v>
      </c>
      <c r="N6" s="4">
        <v>3.1</v>
      </c>
      <c r="O6" s="4">
        <v>48.699999999999996</v>
      </c>
      <c r="P6" s="4">
        <v>0</v>
      </c>
      <c r="Q6" s="4">
        <v>48.199999999999996</v>
      </c>
      <c r="R6" s="4">
        <v>0</v>
      </c>
      <c r="AB6" s="5">
        <v>2238.2409668</v>
      </c>
      <c r="AC6" t="s">
        <v>96</v>
      </c>
      <c r="AD6" s="4">
        <v>3.1</v>
      </c>
      <c r="AE6" s="4">
        <v>48.699999999999996</v>
      </c>
      <c r="AF6" s="4">
        <v>0</v>
      </c>
      <c r="AG6" s="4">
        <v>48.199999999999996</v>
      </c>
      <c r="AH6" s="4">
        <v>0</v>
      </c>
    </row>
    <row r="7" spans="1:34" x14ac:dyDescent="0.35">
      <c r="B7" s="2"/>
      <c r="E7" s="3"/>
      <c r="F7" s="3"/>
      <c r="G7" s="3"/>
      <c r="H7" s="3"/>
      <c r="I7" s="3"/>
      <c r="J7" s="3"/>
      <c r="L7" s="5">
        <v>1289.3337402300001</v>
      </c>
      <c r="M7" t="s">
        <v>97</v>
      </c>
      <c r="N7" s="4">
        <v>33.300000000000004</v>
      </c>
      <c r="O7" s="4">
        <v>16.100000000000001</v>
      </c>
      <c r="P7" s="4">
        <v>0</v>
      </c>
      <c r="Q7" s="4">
        <v>0</v>
      </c>
      <c r="R7" s="4">
        <v>50.6</v>
      </c>
      <c r="AB7" s="5">
        <v>1289.3337402300001</v>
      </c>
      <c r="AC7" t="s">
        <v>97</v>
      </c>
      <c r="AD7" s="4">
        <v>33.300000000000004</v>
      </c>
      <c r="AE7" s="4">
        <v>16.100000000000001</v>
      </c>
      <c r="AF7" s="4">
        <v>0</v>
      </c>
      <c r="AG7" s="4">
        <v>0</v>
      </c>
      <c r="AH7" s="4">
        <v>50.6</v>
      </c>
    </row>
    <row r="8" spans="1:34" x14ac:dyDescent="0.35">
      <c r="A8" t="s">
        <v>94</v>
      </c>
      <c r="B8">
        <v>2.2285999999999999E-3</v>
      </c>
      <c r="C8" t="s">
        <v>106</v>
      </c>
      <c r="D8">
        <v>34</v>
      </c>
      <c r="E8" s="3">
        <v>0.67500000000000004</v>
      </c>
      <c r="F8" s="3"/>
      <c r="G8" s="3"/>
      <c r="H8" s="3"/>
      <c r="I8">
        <v>0.67500000000000004</v>
      </c>
      <c r="J8" s="3"/>
      <c r="L8" s="5">
        <v>1289.3337402300001</v>
      </c>
      <c r="M8" t="s">
        <v>98</v>
      </c>
      <c r="N8" s="4">
        <v>0</v>
      </c>
      <c r="O8" s="4">
        <v>32.800000000000004</v>
      </c>
      <c r="P8" s="4">
        <v>18.7</v>
      </c>
      <c r="Q8" s="4">
        <v>48.5</v>
      </c>
      <c r="R8" s="4">
        <v>0</v>
      </c>
      <c r="AB8" s="5">
        <v>1289.3337402300001</v>
      </c>
      <c r="AC8" t="s">
        <v>98</v>
      </c>
      <c r="AD8" s="4">
        <v>0</v>
      </c>
      <c r="AE8" s="4">
        <v>35.299999999999997</v>
      </c>
      <c r="AF8" s="4">
        <v>0</v>
      </c>
      <c r="AG8" s="4">
        <v>64.7</v>
      </c>
      <c r="AH8" s="4">
        <v>0</v>
      </c>
    </row>
    <row r="9" spans="1:34" x14ac:dyDescent="0.35">
      <c r="B9" s="2"/>
      <c r="C9" t="s">
        <v>107</v>
      </c>
      <c r="D9">
        <v>23</v>
      </c>
      <c r="E9" s="3">
        <v>0.23499999999999999</v>
      </c>
      <c r="F9" s="3"/>
      <c r="G9">
        <v>0.23499999999999999</v>
      </c>
      <c r="H9" s="3"/>
      <c r="I9" s="3"/>
      <c r="J9" s="3"/>
      <c r="L9" s="5">
        <v>995.80053710899995</v>
      </c>
      <c r="M9" t="s">
        <v>99</v>
      </c>
      <c r="N9" s="4">
        <v>0</v>
      </c>
      <c r="O9" s="4">
        <v>45.800000000000004</v>
      </c>
      <c r="P9" s="4">
        <v>54.2</v>
      </c>
      <c r="Q9" s="4">
        <v>0</v>
      </c>
      <c r="R9" s="4">
        <v>0</v>
      </c>
      <c r="AB9" s="5">
        <v>995.80053710899995</v>
      </c>
      <c r="AC9" t="s">
        <v>99</v>
      </c>
      <c r="AD9" s="4">
        <v>0</v>
      </c>
      <c r="AE9" s="4">
        <v>44.3</v>
      </c>
      <c r="AF9" s="4">
        <v>25.2</v>
      </c>
      <c r="AG9" s="4">
        <v>30.5</v>
      </c>
      <c r="AH9" s="4">
        <v>0</v>
      </c>
    </row>
    <row r="10" spans="1:34" x14ac:dyDescent="0.35">
      <c r="B10" s="2"/>
      <c r="C10" t="s">
        <v>108</v>
      </c>
      <c r="D10">
        <v>2</v>
      </c>
      <c r="E10" s="3">
        <v>0.09</v>
      </c>
      <c r="F10">
        <v>0.09</v>
      </c>
      <c r="G10" s="3"/>
      <c r="H10" s="3"/>
      <c r="I10" s="3"/>
      <c r="J10" s="3"/>
      <c r="L10" s="5">
        <v>995.80053710899995</v>
      </c>
      <c r="M10" t="s">
        <v>100</v>
      </c>
      <c r="N10" s="4">
        <v>0</v>
      </c>
      <c r="O10" s="4">
        <v>41.558441558441558</v>
      </c>
      <c r="P10" s="4">
        <v>58.441558441558449</v>
      </c>
      <c r="Q10" s="4">
        <v>0</v>
      </c>
      <c r="R10" s="4">
        <v>0</v>
      </c>
      <c r="AB10" s="5">
        <v>995.80053710899995</v>
      </c>
      <c r="AC10" t="s">
        <v>100</v>
      </c>
      <c r="AD10" s="4">
        <v>0</v>
      </c>
      <c r="AE10" s="4">
        <v>46.046046046046044</v>
      </c>
      <c r="AF10" s="4">
        <v>24.324324324324323</v>
      </c>
      <c r="AG10" s="4">
        <v>29.629629629629626</v>
      </c>
      <c r="AH10" s="4">
        <v>0</v>
      </c>
    </row>
    <row r="11" spans="1:34" x14ac:dyDescent="0.35">
      <c r="B11" s="2"/>
      <c r="C11" t="s">
        <v>91</v>
      </c>
      <c r="E11" s="3">
        <f t="shared" ref="E11:J11" si="1">SUM(E8:E10)</f>
        <v>1</v>
      </c>
      <c r="F11" s="3">
        <f t="shared" si="1"/>
        <v>0.09</v>
      </c>
      <c r="G11" s="3">
        <f t="shared" si="1"/>
        <v>0.23499999999999999</v>
      </c>
      <c r="H11" s="3">
        <f t="shared" si="1"/>
        <v>0</v>
      </c>
      <c r="I11" s="3">
        <f t="shared" si="1"/>
        <v>0.67500000000000004</v>
      </c>
      <c r="J11" s="3">
        <f t="shared" si="1"/>
        <v>0</v>
      </c>
      <c r="L11" s="5">
        <v>303.63504028300002</v>
      </c>
      <c r="M11" t="s">
        <v>101</v>
      </c>
      <c r="N11" s="4">
        <v>0</v>
      </c>
      <c r="O11" s="4">
        <v>34.800000000000004</v>
      </c>
      <c r="P11" s="4">
        <v>23.6</v>
      </c>
      <c r="Q11" s="4">
        <v>41.6</v>
      </c>
      <c r="R11" s="4">
        <v>0</v>
      </c>
      <c r="AB11" s="5">
        <v>303.63504028300002</v>
      </c>
      <c r="AC11" t="s">
        <v>101</v>
      </c>
      <c r="AD11" s="4">
        <v>0</v>
      </c>
      <c r="AE11" s="4">
        <v>34.800000000000004</v>
      </c>
      <c r="AF11" s="4">
        <v>23.6</v>
      </c>
      <c r="AG11" s="4">
        <v>41.6</v>
      </c>
      <c r="AH11" s="4">
        <v>0</v>
      </c>
    </row>
    <row r="12" spans="1:34" x14ac:dyDescent="0.35">
      <c r="B12" s="2"/>
      <c r="C12" t="s">
        <v>92</v>
      </c>
      <c r="E12" s="3"/>
      <c r="F12" s="3">
        <f>F11/E11*100</f>
        <v>9</v>
      </c>
      <c r="G12" s="3">
        <f>G11/E11*100</f>
        <v>23.5</v>
      </c>
      <c r="H12" s="3">
        <f>H11/E11*100</f>
        <v>0</v>
      </c>
      <c r="I12" s="3">
        <f>I11/E11*100</f>
        <v>67.5</v>
      </c>
      <c r="J12" s="3">
        <f>J11/E11*100</f>
        <v>0</v>
      </c>
      <c r="L12" s="5">
        <v>303.63504028300002</v>
      </c>
      <c r="M12" t="s">
        <v>102</v>
      </c>
      <c r="N12" s="4">
        <v>0</v>
      </c>
      <c r="O12" s="4">
        <v>38.438438438438446</v>
      </c>
      <c r="P12" s="4">
        <v>61.561561561561575</v>
      </c>
      <c r="Q12" s="4">
        <v>0</v>
      </c>
      <c r="R12" s="4">
        <v>0</v>
      </c>
      <c r="AB12" s="5">
        <v>303.63504028300002</v>
      </c>
      <c r="AC12" t="s">
        <v>102</v>
      </c>
      <c r="AD12" s="4">
        <v>0</v>
      </c>
      <c r="AE12" s="4">
        <v>37.9</v>
      </c>
      <c r="AF12" s="4">
        <v>23</v>
      </c>
      <c r="AG12" s="4">
        <v>39.1</v>
      </c>
      <c r="AH12" s="4">
        <v>0</v>
      </c>
    </row>
    <row r="13" spans="1:34" x14ac:dyDescent="0.35">
      <c r="B13" s="2"/>
      <c r="E13" s="3"/>
      <c r="F13" s="3"/>
      <c r="G13" s="3"/>
      <c r="H13" s="3"/>
      <c r="I13" s="3"/>
      <c r="J13" s="3"/>
    </row>
    <row r="14" spans="1:34" x14ac:dyDescent="0.35">
      <c r="A14" t="s">
        <v>95</v>
      </c>
      <c r="B14">
        <v>2.2344999999999999E-3</v>
      </c>
      <c r="C14" t="s">
        <v>109</v>
      </c>
      <c r="D14">
        <v>3</v>
      </c>
      <c r="E14">
        <v>0.182</v>
      </c>
      <c r="F14" s="3"/>
      <c r="G14" s="3"/>
      <c r="H14">
        <v>0.182</v>
      </c>
      <c r="I14" s="3"/>
      <c r="J14" s="3"/>
      <c r="N14" s="5"/>
    </row>
    <row r="15" spans="1:34" x14ac:dyDescent="0.35">
      <c r="B15" s="2"/>
      <c r="C15" t="s">
        <v>106</v>
      </c>
      <c r="D15">
        <v>34</v>
      </c>
      <c r="E15">
        <v>0.14499999999999999</v>
      </c>
      <c r="F15" s="3"/>
      <c r="G15" s="3"/>
      <c r="H15" s="3"/>
      <c r="I15">
        <v>0.14499999999999999</v>
      </c>
      <c r="J15" s="3"/>
    </row>
    <row r="16" spans="1:34" x14ac:dyDescent="0.35">
      <c r="B16" s="2"/>
      <c r="C16" t="s">
        <v>107</v>
      </c>
      <c r="D16">
        <v>23</v>
      </c>
      <c r="E16">
        <v>0.67300000000000004</v>
      </c>
      <c r="F16" s="3"/>
      <c r="G16">
        <v>0.67300000000000004</v>
      </c>
      <c r="H16" s="3"/>
      <c r="I16" s="3"/>
      <c r="J16" s="3"/>
    </row>
    <row r="17" spans="1:10" x14ac:dyDescent="0.35">
      <c r="B17" s="2"/>
      <c r="C17" t="s">
        <v>91</v>
      </c>
      <c r="E17" s="3">
        <f t="shared" ref="E17:J17" si="2">SUM(E14:E16)</f>
        <v>1</v>
      </c>
      <c r="F17" s="3">
        <f t="shared" si="2"/>
        <v>0</v>
      </c>
      <c r="G17" s="3">
        <f t="shared" si="2"/>
        <v>0.67300000000000004</v>
      </c>
      <c r="H17" s="3">
        <f t="shared" si="2"/>
        <v>0.182</v>
      </c>
      <c r="I17" s="3">
        <f t="shared" si="2"/>
        <v>0.14499999999999999</v>
      </c>
      <c r="J17" s="3">
        <f t="shared" si="2"/>
        <v>0</v>
      </c>
    </row>
    <row r="18" spans="1:10" x14ac:dyDescent="0.35">
      <c r="B18" s="2"/>
      <c r="C18" t="s">
        <v>92</v>
      </c>
      <c r="E18" s="3"/>
      <c r="F18" s="3">
        <f>F17/E17*100</f>
        <v>0</v>
      </c>
      <c r="G18" s="3">
        <f>G17/E17*100</f>
        <v>67.300000000000011</v>
      </c>
      <c r="H18" s="3">
        <f>H17/E17*100</f>
        <v>18.2</v>
      </c>
      <c r="I18" s="3">
        <f>I17/E17*100</f>
        <v>14.499999999999998</v>
      </c>
      <c r="J18" s="3">
        <f>J17/E17*100</f>
        <v>0</v>
      </c>
    </row>
    <row r="19" spans="1:10" x14ac:dyDescent="0.35">
      <c r="B19" s="2"/>
      <c r="E19" s="3"/>
      <c r="F19" s="3"/>
      <c r="G19" s="3"/>
      <c r="H19" s="3"/>
      <c r="I19" s="3"/>
      <c r="J19" s="3"/>
    </row>
    <row r="20" spans="1:10" x14ac:dyDescent="0.35">
      <c r="A20" t="s">
        <v>96</v>
      </c>
      <c r="B20">
        <v>1.0043000000000001E-3</v>
      </c>
      <c r="C20" t="s">
        <v>106</v>
      </c>
      <c r="D20">
        <v>34</v>
      </c>
      <c r="E20">
        <v>0.48199999999999998</v>
      </c>
      <c r="F20" s="3"/>
      <c r="G20" s="3"/>
      <c r="H20" s="3"/>
      <c r="I20">
        <v>0.48199999999999998</v>
      </c>
      <c r="J20" s="3"/>
    </row>
    <row r="21" spans="1:10" x14ac:dyDescent="0.35">
      <c r="B21" s="2"/>
      <c r="C21" t="s">
        <v>107</v>
      </c>
      <c r="D21">
        <v>23</v>
      </c>
      <c r="E21">
        <v>0.48699999999999999</v>
      </c>
      <c r="F21" s="3"/>
      <c r="G21">
        <v>0.48699999999999999</v>
      </c>
      <c r="H21" s="3"/>
      <c r="I21" s="3"/>
      <c r="J21" s="3"/>
    </row>
    <row r="22" spans="1:10" x14ac:dyDescent="0.35">
      <c r="B22" s="2"/>
      <c r="C22" t="s">
        <v>108</v>
      </c>
      <c r="D22">
        <v>2</v>
      </c>
      <c r="E22">
        <v>3.1E-2</v>
      </c>
      <c r="F22">
        <v>3.1E-2</v>
      </c>
      <c r="G22" s="3"/>
      <c r="H22" s="3"/>
      <c r="I22" s="3"/>
      <c r="J22" s="3"/>
    </row>
    <row r="23" spans="1:10" x14ac:dyDescent="0.35">
      <c r="B23" s="2"/>
      <c r="C23" t="s">
        <v>91</v>
      </c>
      <c r="E23" s="3">
        <f t="shared" ref="E23:J23" si="3">SUM(E20:E22)</f>
        <v>1</v>
      </c>
      <c r="F23" s="3">
        <f t="shared" si="3"/>
        <v>3.1E-2</v>
      </c>
      <c r="G23" s="3">
        <f t="shared" si="3"/>
        <v>0.48699999999999999</v>
      </c>
      <c r="H23" s="3">
        <f t="shared" si="3"/>
        <v>0</v>
      </c>
      <c r="I23" s="3">
        <f t="shared" si="3"/>
        <v>0.48199999999999998</v>
      </c>
      <c r="J23" s="3">
        <f t="shared" si="3"/>
        <v>0</v>
      </c>
    </row>
    <row r="24" spans="1:10" x14ac:dyDescent="0.35">
      <c r="B24" s="2"/>
      <c r="C24" t="s">
        <v>92</v>
      </c>
      <c r="E24" s="3"/>
      <c r="F24" s="3">
        <f>F23/E23*100</f>
        <v>3.1</v>
      </c>
      <c r="G24" s="3">
        <f>G23/E23*100</f>
        <v>48.699999999999996</v>
      </c>
      <c r="H24" s="3">
        <f>H23/E23*100</f>
        <v>0</v>
      </c>
      <c r="I24" s="3">
        <f>I23/E23*100</f>
        <v>48.199999999999996</v>
      </c>
      <c r="J24" s="3">
        <f>J23/E23*100</f>
        <v>0</v>
      </c>
    </row>
    <row r="25" spans="1:10" x14ac:dyDescent="0.35">
      <c r="B25" s="2"/>
      <c r="E25" s="3"/>
      <c r="F25" s="3"/>
      <c r="G25" s="3"/>
      <c r="H25" s="3"/>
      <c r="I25" s="3"/>
      <c r="J25" s="3"/>
    </row>
    <row r="26" spans="1:10" x14ac:dyDescent="0.35">
      <c r="A26" t="s">
        <v>97</v>
      </c>
      <c r="B26">
        <v>1.5518799999999999E-2</v>
      </c>
      <c r="C26" t="s">
        <v>110</v>
      </c>
      <c r="D26">
        <v>2</v>
      </c>
      <c r="E26">
        <v>0.33300000000000002</v>
      </c>
      <c r="F26">
        <v>0.33300000000000002</v>
      </c>
      <c r="G26" s="3"/>
      <c r="H26" s="3"/>
      <c r="I26" s="3"/>
      <c r="J26" s="3"/>
    </row>
    <row r="27" spans="1:10" x14ac:dyDescent="0.35">
      <c r="B27" s="2"/>
      <c r="C27" t="s">
        <v>107</v>
      </c>
      <c r="D27">
        <v>23</v>
      </c>
      <c r="E27">
        <v>0.161</v>
      </c>
      <c r="F27" s="3"/>
      <c r="G27">
        <v>0.161</v>
      </c>
      <c r="H27" s="3"/>
      <c r="I27" s="3"/>
      <c r="J27" s="3"/>
    </row>
    <row r="28" spans="1:10" x14ac:dyDescent="0.35">
      <c r="B28" s="2"/>
      <c r="C28" t="s">
        <v>111</v>
      </c>
      <c r="D28">
        <v>4</v>
      </c>
      <c r="E28">
        <v>0.50600000000000001</v>
      </c>
      <c r="F28" s="3"/>
      <c r="G28" s="3"/>
      <c r="H28" s="3"/>
      <c r="I28" s="3"/>
      <c r="J28">
        <v>0.50600000000000001</v>
      </c>
    </row>
    <row r="29" spans="1:10" x14ac:dyDescent="0.35">
      <c r="B29" s="2"/>
      <c r="C29" t="s">
        <v>91</v>
      </c>
      <c r="E29" s="3">
        <f t="shared" ref="E29:J29" si="4">SUM(E26:E28)</f>
        <v>1</v>
      </c>
      <c r="F29" s="3">
        <f t="shared" si="4"/>
        <v>0.33300000000000002</v>
      </c>
      <c r="G29" s="3">
        <f t="shared" si="4"/>
        <v>0.161</v>
      </c>
      <c r="H29" s="3">
        <f t="shared" si="4"/>
        <v>0</v>
      </c>
      <c r="I29" s="3">
        <f t="shared" si="4"/>
        <v>0</v>
      </c>
      <c r="J29" s="3">
        <f t="shared" si="4"/>
        <v>0.50600000000000001</v>
      </c>
    </row>
    <row r="30" spans="1:10" x14ac:dyDescent="0.35">
      <c r="B30" s="2"/>
      <c r="C30" t="s">
        <v>92</v>
      </c>
      <c r="E30" s="3"/>
      <c r="F30" s="3">
        <f>F29/E29*100</f>
        <v>33.300000000000004</v>
      </c>
      <c r="G30" s="3">
        <f>G29/E29*100</f>
        <v>16.100000000000001</v>
      </c>
      <c r="H30" s="3">
        <f>H29/E29*100</f>
        <v>0</v>
      </c>
      <c r="I30" s="3">
        <f>I29/E29*100</f>
        <v>0</v>
      </c>
      <c r="J30" s="3">
        <f>J29/E29*100</f>
        <v>50.6</v>
      </c>
    </row>
    <row r="31" spans="1:10" x14ac:dyDescent="0.35">
      <c r="B31" s="2"/>
      <c r="E31" s="3"/>
      <c r="F31" s="3"/>
      <c r="G31" s="3"/>
      <c r="H31" s="3"/>
      <c r="I31" s="3"/>
      <c r="J31" s="3"/>
    </row>
    <row r="32" spans="1:10" x14ac:dyDescent="0.35">
      <c r="A32" t="s">
        <v>98</v>
      </c>
      <c r="B32">
        <v>6.0539999999999997E-4</v>
      </c>
      <c r="C32" t="s">
        <v>106</v>
      </c>
      <c r="D32">
        <v>34</v>
      </c>
      <c r="E32">
        <v>0.48499999999999999</v>
      </c>
      <c r="F32" s="3"/>
      <c r="G32" s="3"/>
      <c r="H32" s="3"/>
      <c r="I32">
        <v>0.48499999999999999</v>
      </c>
      <c r="J32" s="3"/>
    </row>
    <row r="33" spans="1:10" x14ac:dyDescent="0.35">
      <c r="B33" s="2"/>
      <c r="C33" t="s">
        <v>107</v>
      </c>
      <c r="D33">
        <v>23</v>
      </c>
      <c r="E33">
        <v>0.32800000000000001</v>
      </c>
      <c r="F33" s="3"/>
      <c r="G33">
        <v>0.32800000000000001</v>
      </c>
      <c r="H33" s="3"/>
      <c r="I33" s="3"/>
      <c r="J33" s="3"/>
    </row>
    <row r="34" spans="1:10" x14ac:dyDescent="0.35">
      <c r="B34" s="2"/>
      <c r="C34" s="6" t="s">
        <v>112</v>
      </c>
      <c r="D34">
        <v>3</v>
      </c>
      <c r="E34">
        <v>0.187</v>
      </c>
      <c r="F34" s="3"/>
      <c r="G34" s="3"/>
      <c r="H34">
        <v>0.187</v>
      </c>
      <c r="I34" s="3"/>
      <c r="J34" s="3"/>
    </row>
    <row r="35" spans="1:10" x14ac:dyDescent="0.35">
      <c r="B35" s="2"/>
      <c r="C35" t="s">
        <v>91</v>
      </c>
      <c r="E35" s="3">
        <f t="shared" ref="E35:J35" si="5">SUM(E32:E34)</f>
        <v>1</v>
      </c>
      <c r="F35" s="3">
        <f t="shared" si="5"/>
        <v>0</v>
      </c>
      <c r="G35" s="3">
        <f t="shared" si="5"/>
        <v>0.32800000000000001</v>
      </c>
      <c r="H35" s="3">
        <f t="shared" si="5"/>
        <v>0.187</v>
      </c>
      <c r="I35" s="3">
        <f t="shared" si="5"/>
        <v>0.48499999999999999</v>
      </c>
      <c r="J35" s="3">
        <f t="shared" si="5"/>
        <v>0</v>
      </c>
    </row>
    <row r="36" spans="1:10" x14ac:dyDescent="0.35">
      <c r="B36" s="2"/>
      <c r="C36" t="s">
        <v>92</v>
      </c>
      <c r="E36" s="3"/>
      <c r="F36" s="3">
        <f>F35/E35*100</f>
        <v>0</v>
      </c>
      <c r="G36" s="3">
        <f>G35/E35*100</f>
        <v>32.800000000000004</v>
      </c>
      <c r="H36" s="3">
        <f>H35/E35*100</f>
        <v>18.7</v>
      </c>
      <c r="I36" s="3">
        <f>I35/E35*100</f>
        <v>48.5</v>
      </c>
      <c r="J36" s="3">
        <f>J35/E35*100</f>
        <v>0</v>
      </c>
    </row>
    <row r="37" spans="1:10" x14ac:dyDescent="0.35">
      <c r="B37" s="2"/>
      <c r="E37" s="3"/>
      <c r="F37" s="3"/>
      <c r="G37" s="3"/>
      <c r="H37" s="3"/>
      <c r="I37" s="3"/>
      <c r="J37" s="3"/>
    </row>
    <row r="38" spans="1:10" x14ac:dyDescent="0.35">
      <c r="A38" t="s">
        <v>116</v>
      </c>
      <c r="B38" s="7">
        <v>8.8239999999999998E-4</v>
      </c>
      <c r="C38" t="s">
        <v>107</v>
      </c>
      <c r="D38">
        <v>23</v>
      </c>
      <c r="E38" s="7">
        <v>0.312</v>
      </c>
      <c r="F38" s="8"/>
      <c r="G38" s="7">
        <v>0.312</v>
      </c>
      <c r="H38" s="8"/>
      <c r="I38" s="7"/>
      <c r="J38" s="8"/>
    </row>
    <row r="39" spans="1:10" x14ac:dyDescent="0.35">
      <c r="B39" s="9"/>
      <c r="C39" t="s">
        <v>106</v>
      </c>
      <c r="D39">
        <v>34</v>
      </c>
      <c r="E39" s="7">
        <v>0.64700000000000002</v>
      </c>
      <c r="F39" s="8"/>
      <c r="G39" s="7"/>
      <c r="H39" s="8"/>
      <c r="I39" s="7">
        <v>0.64700000000000002</v>
      </c>
      <c r="J39" s="8"/>
    </row>
    <row r="40" spans="1:10" x14ac:dyDescent="0.35">
      <c r="B40" s="9"/>
      <c r="C40" t="s">
        <v>104</v>
      </c>
      <c r="D40">
        <v>23</v>
      </c>
      <c r="E40" s="7">
        <v>4.1000000000000002E-2</v>
      </c>
      <c r="F40" s="8"/>
      <c r="G40" s="7">
        <v>4.1000000000000002E-2</v>
      </c>
      <c r="H40" s="7"/>
      <c r="I40" s="8"/>
      <c r="J40" s="8"/>
    </row>
    <row r="41" spans="1:10" x14ac:dyDescent="0.35">
      <c r="B41" s="2"/>
      <c r="C41" t="s">
        <v>91</v>
      </c>
      <c r="E41" s="3">
        <f t="shared" ref="E41:J41" si="6">SUM(E38:E40)</f>
        <v>1</v>
      </c>
      <c r="F41" s="3">
        <f t="shared" si="6"/>
        <v>0</v>
      </c>
      <c r="G41" s="3">
        <f t="shared" si="6"/>
        <v>0.35299999999999998</v>
      </c>
      <c r="H41" s="3">
        <f t="shared" si="6"/>
        <v>0</v>
      </c>
      <c r="I41" s="3">
        <f t="shared" si="6"/>
        <v>0.64700000000000002</v>
      </c>
      <c r="J41" s="3">
        <f t="shared" si="6"/>
        <v>0</v>
      </c>
    </row>
    <row r="42" spans="1:10" x14ac:dyDescent="0.35">
      <c r="B42" s="2"/>
      <c r="C42" t="s">
        <v>92</v>
      </c>
      <c r="E42" s="3"/>
      <c r="F42" s="3">
        <f>F41/E41*100</f>
        <v>0</v>
      </c>
      <c r="G42" s="3">
        <f>G41/E41*100</f>
        <v>35.299999999999997</v>
      </c>
      <c r="H42" s="3">
        <f>H41/E41*100</f>
        <v>0</v>
      </c>
      <c r="I42" s="3">
        <f>I41/E41*100</f>
        <v>64.7</v>
      </c>
      <c r="J42" s="3">
        <f>J41/E41*100</f>
        <v>0</v>
      </c>
    </row>
    <row r="43" spans="1:10" x14ac:dyDescent="0.35">
      <c r="B43" s="2"/>
      <c r="E43" s="3"/>
      <c r="F43" s="3"/>
      <c r="G43" s="3"/>
      <c r="H43" s="3"/>
      <c r="I43" s="3"/>
      <c r="J43" s="3"/>
    </row>
    <row r="44" spans="1:10" x14ac:dyDescent="0.35">
      <c r="A44" t="s">
        <v>99</v>
      </c>
      <c r="B44">
        <v>1.5341E-3</v>
      </c>
      <c r="C44" t="s">
        <v>109</v>
      </c>
      <c r="D44">
        <v>3</v>
      </c>
      <c r="E44">
        <v>0.22</v>
      </c>
      <c r="F44" s="3"/>
      <c r="G44" s="3"/>
      <c r="H44">
        <v>0.22</v>
      </c>
      <c r="I44" s="3"/>
      <c r="J44" s="3"/>
    </row>
    <row r="45" spans="1:10" x14ac:dyDescent="0.35">
      <c r="B45" s="2"/>
      <c r="C45" t="s">
        <v>107</v>
      </c>
      <c r="D45">
        <v>23</v>
      </c>
      <c r="E45">
        <v>0.45800000000000002</v>
      </c>
      <c r="F45" s="3"/>
      <c r="G45">
        <v>0.45800000000000002</v>
      </c>
      <c r="H45" s="3"/>
      <c r="I45" s="3"/>
      <c r="J45" s="3"/>
    </row>
    <row r="46" spans="1:10" x14ac:dyDescent="0.35">
      <c r="B46" s="2"/>
      <c r="C46" s="6" t="s">
        <v>112</v>
      </c>
      <c r="D46">
        <v>3</v>
      </c>
      <c r="E46">
        <v>0.32200000000000001</v>
      </c>
      <c r="F46" s="3"/>
      <c r="G46" s="3"/>
      <c r="H46">
        <v>0.32200000000000001</v>
      </c>
      <c r="I46" s="3"/>
      <c r="J46" s="3"/>
    </row>
    <row r="47" spans="1:10" x14ac:dyDescent="0.35">
      <c r="B47" s="2"/>
      <c r="C47" t="s">
        <v>91</v>
      </c>
      <c r="E47" s="3">
        <f t="shared" ref="E47:J47" si="7">SUM(E44:E46)</f>
        <v>1</v>
      </c>
      <c r="F47" s="3">
        <f t="shared" si="7"/>
        <v>0</v>
      </c>
      <c r="G47" s="3">
        <f t="shared" si="7"/>
        <v>0.45800000000000002</v>
      </c>
      <c r="H47" s="3">
        <f t="shared" si="7"/>
        <v>0.54200000000000004</v>
      </c>
      <c r="I47" s="3">
        <f t="shared" si="7"/>
        <v>0</v>
      </c>
      <c r="J47" s="3">
        <f t="shared" si="7"/>
        <v>0</v>
      </c>
    </row>
    <row r="48" spans="1:10" x14ac:dyDescent="0.35">
      <c r="B48" s="2"/>
      <c r="C48" t="s">
        <v>92</v>
      </c>
      <c r="E48" s="3"/>
      <c r="F48" s="3">
        <f>F47/E47*100</f>
        <v>0</v>
      </c>
      <c r="G48" s="3">
        <f>G47/E47*100</f>
        <v>45.800000000000004</v>
      </c>
      <c r="H48" s="3">
        <f>H47/E47*100</f>
        <v>54.2</v>
      </c>
      <c r="I48" s="3">
        <f>I47/E47*100</f>
        <v>0</v>
      </c>
      <c r="J48" s="3">
        <f>J47/E47*100</f>
        <v>0</v>
      </c>
    </row>
    <row r="49" spans="1:10" x14ac:dyDescent="0.35">
      <c r="B49" s="2"/>
      <c r="E49" s="3"/>
      <c r="F49" s="3"/>
      <c r="G49" s="3"/>
      <c r="H49" s="3"/>
      <c r="I49" s="3"/>
      <c r="J49" s="3"/>
    </row>
    <row r="50" spans="1:10" x14ac:dyDescent="0.35">
      <c r="A50" t="s">
        <v>117</v>
      </c>
      <c r="B50" s="7">
        <v>1.3004E-3</v>
      </c>
      <c r="C50" t="s">
        <v>107</v>
      </c>
      <c r="D50">
        <v>23</v>
      </c>
      <c r="E50" s="7">
        <v>0.443</v>
      </c>
      <c r="F50" s="8"/>
      <c r="G50" s="8">
        <v>0.443</v>
      </c>
      <c r="H50" s="7"/>
      <c r="I50" s="8"/>
      <c r="J50" s="8"/>
    </row>
    <row r="51" spans="1:10" x14ac:dyDescent="0.35">
      <c r="B51" s="9"/>
      <c r="C51" t="s">
        <v>106</v>
      </c>
      <c r="D51">
        <v>34</v>
      </c>
      <c r="E51" s="7">
        <v>0.30499999999999999</v>
      </c>
      <c r="F51" s="8"/>
      <c r="G51" s="7"/>
      <c r="H51" s="8"/>
      <c r="I51" s="8">
        <v>0.30499999999999999</v>
      </c>
      <c r="J51" s="8"/>
    </row>
    <row r="52" spans="1:10" x14ac:dyDescent="0.35">
      <c r="B52" s="9"/>
      <c r="C52" t="s">
        <v>109</v>
      </c>
      <c r="D52">
        <v>3</v>
      </c>
      <c r="E52" s="7">
        <v>0.252</v>
      </c>
      <c r="F52" s="8"/>
      <c r="G52" s="8"/>
      <c r="H52" s="7">
        <v>0.252</v>
      </c>
      <c r="I52" s="8"/>
      <c r="J52" s="8"/>
    </row>
    <row r="53" spans="1:10" x14ac:dyDescent="0.35">
      <c r="B53" s="2"/>
      <c r="C53" t="s">
        <v>91</v>
      </c>
      <c r="E53" s="3">
        <f t="shared" ref="E53:J53" si="8">SUM(E50:E52)</f>
        <v>1</v>
      </c>
      <c r="F53" s="3">
        <f t="shared" si="8"/>
        <v>0</v>
      </c>
      <c r="G53" s="3">
        <f t="shared" si="8"/>
        <v>0.443</v>
      </c>
      <c r="H53" s="3">
        <f t="shared" si="8"/>
        <v>0.252</v>
      </c>
      <c r="I53" s="3">
        <f t="shared" si="8"/>
        <v>0.30499999999999999</v>
      </c>
      <c r="J53" s="3">
        <f t="shared" si="8"/>
        <v>0</v>
      </c>
    </row>
    <row r="54" spans="1:10" x14ac:dyDescent="0.35">
      <c r="B54" s="2"/>
      <c r="C54" t="s">
        <v>92</v>
      </c>
      <c r="E54" s="3"/>
      <c r="F54" s="3">
        <f>F53/E53*100</f>
        <v>0</v>
      </c>
      <c r="G54" s="3">
        <f>G53/E53*100</f>
        <v>44.3</v>
      </c>
      <c r="H54" s="3">
        <f>H53/E53*100</f>
        <v>25.2</v>
      </c>
      <c r="I54" s="3">
        <f>I53/E53*100</f>
        <v>30.5</v>
      </c>
      <c r="J54" s="3">
        <f>J53/E53*100</f>
        <v>0</v>
      </c>
    </row>
    <row r="55" spans="1:10" x14ac:dyDescent="0.35">
      <c r="B55" s="2"/>
      <c r="E55" s="3"/>
      <c r="F55" s="3"/>
      <c r="G55" s="3"/>
      <c r="H55" s="3"/>
      <c r="I55" s="3"/>
      <c r="J55" s="3"/>
    </row>
    <row r="56" spans="1:10" x14ac:dyDescent="0.35">
      <c r="A56" t="s">
        <v>100</v>
      </c>
      <c r="B56">
        <v>8.3219999999999995E-4</v>
      </c>
      <c r="C56" s="6" t="s">
        <v>112</v>
      </c>
      <c r="D56">
        <v>3</v>
      </c>
      <c r="E56">
        <v>0.40899999999999997</v>
      </c>
      <c r="F56" s="3"/>
      <c r="G56" s="3"/>
      <c r="H56">
        <v>0.40899999999999997</v>
      </c>
      <c r="I56" s="3"/>
      <c r="J56" s="3"/>
    </row>
    <row r="57" spans="1:10" x14ac:dyDescent="0.35">
      <c r="B57" s="2"/>
      <c r="C57" t="s">
        <v>107</v>
      </c>
      <c r="D57">
        <v>23</v>
      </c>
      <c r="E57">
        <v>0.41599999999999998</v>
      </c>
      <c r="F57" s="3"/>
      <c r="G57">
        <v>0.41599999999999998</v>
      </c>
      <c r="H57" s="3"/>
      <c r="I57" s="3"/>
      <c r="J57" s="3"/>
    </row>
    <row r="58" spans="1:10" x14ac:dyDescent="0.35">
      <c r="B58" s="2"/>
      <c r="C58" s="6" t="s">
        <v>112</v>
      </c>
      <c r="D58">
        <v>3</v>
      </c>
      <c r="E58">
        <v>0.17599999999999999</v>
      </c>
      <c r="F58" s="3"/>
      <c r="G58" s="3"/>
      <c r="H58">
        <v>0.17599999999999999</v>
      </c>
      <c r="I58" s="3"/>
      <c r="J58" s="3"/>
    </row>
    <row r="59" spans="1:10" x14ac:dyDescent="0.35">
      <c r="B59" s="2"/>
      <c r="C59" t="s">
        <v>91</v>
      </c>
      <c r="E59" s="3">
        <f t="shared" ref="E59:J59" si="9">SUM(E56:E58)</f>
        <v>1.0009999999999999</v>
      </c>
      <c r="F59" s="3">
        <f t="shared" si="9"/>
        <v>0</v>
      </c>
      <c r="G59" s="3">
        <f t="shared" si="9"/>
        <v>0.41599999999999998</v>
      </c>
      <c r="H59" s="3">
        <f t="shared" si="9"/>
        <v>0.58499999999999996</v>
      </c>
      <c r="I59" s="3">
        <f t="shared" si="9"/>
        <v>0</v>
      </c>
      <c r="J59" s="3">
        <f t="shared" si="9"/>
        <v>0</v>
      </c>
    </row>
    <row r="60" spans="1:10" x14ac:dyDescent="0.35">
      <c r="B60" s="2"/>
      <c r="C60" t="s">
        <v>92</v>
      </c>
      <c r="E60" s="3"/>
      <c r="F60" s="3">
        <f>F59/E59*100</f>
        <v>0</v>
      </c>
      <c r="G60" s="3">
        <f>G59/E59*100</f>
        <v>41.558441558441558</v>
      </c>
      <c r="H60" s="3">
        <f>H59/E59*100</f>
        <v>58.441558441558449</v>
      </c>
      <c r="I60" s="3">
        <f>I59/E59*100</f>
        <v>0</v>
      </c>
      <c r="J60" s="3">
        <f>J59/E59*100</f>
        <v>0</v>
      </c>
    </row>
    <row r="61" spans="1:10" x14ac:dyDescent="0.35">
      <c r="B61" s="2"/>
      <c r="E61" s="3"/>
      <c r="F61" s="3"/>
      <c r="G61" s="3"/>
      <c r="H61" s="3"/>
      <c r="I61" s="3"/>
      <c r="J61" s="3"/>
    </row>
    <row r="62" spans="1:10" x14ac:dyDescent="0.35">
      <c r="A62" t="s">
        <v>120</v>
      </c>
      <c r="B62" s="7">
        <v>1.7057999999999999E-3</v>
      </c>
      <c r="C62" t="s">
        <v>107</v>
      </c>
      <c r="D62">
        <v>23</v>
      </c>
      <c r="E62" s="7">
        <v>0.46</v>
      </c>
      <c r="F62" s="8"/>
      <c r="G62" s="7">
        <v>0.46</v>
      </c>
      <c r="H62" s="7"/>
      <c r="I62" s="8"/>
      <c r="J62" s="8"/>
    </row>
    <row r="63" spans="1:10" x14ac:dyDescent="0.35">
      <c r="B63" s="9"/>
      <c r="C63" t="s">
        <v>106</v>
      </c>
      <c r="D63">
        <v>34</v>
      </c>
      <c r="E63" s="7">
        <v>0.29599999999999999</v>
      </c>
      <c r="F63" s="8"/>
      <c r="G63" s="7"/>
      <c r="H63" s="8"/>
      <c r="I63" s="7">
        <v>0.29599999999999999</v>
      </c>
      <c r="J63" s="8"/>
    </row>
    <row r="64" spans="1:10" x14ac:dyDescent="0.35">
      <c r="B64" s="9"/>
      <c r="C64" t="s">
        <v>109</v>
      </c>
      <c r="D64">
        <v>3</v>
      </c>
      <c r="E64" s="7">
        <v>0.24299999999999999</v>
      </c>
      <c r="F64" s="8"/>
      <c r="G64" s="8"/>
      <c r="H64" s="7">
        <v>0.24299999999999999</v>
      </c>
      <c r="I64" s="8"/>
      <c r="J64" s="8"/>
    </row>
    <row r="65" spans="1:10" x14ac:dyDescent="0.35">
      <c r="B65" s="2"/>
      <c r="C65" t="s">
        <v>91</v>
      </c>
      <c r="E65" s="3">
        <f t="shared" ref="E65:J65" si="10">SUM(E62:E64)</f>
        <v>0.999</v>
      </c>
      <c r="F65" s="3">
        <f t="shared" si="10"/>
        <v>0</v>
      </c>
      <c r="G65" s="3">
        <f t="shared" si="10"/>
        <v>0.46</v>
      </c>
      <c r="H65" s="3">
        <f t="shared" si="10"/>
        <v>0.24299999999999999</v>
      </c>
      <c r="I65" s="3">
        <f t="shared" si="10"/>
        <v>0.29599999999999999</v>
      </c>
      <c r="J65" s="3">
        <f t="shared" si="10"/>
        <v>0</v>
      </c>
    </row>
    <row r="66" spans="1:10" x14ac:dyDescent="0.35">
      <c r="B66" s="2"/>
      <c r="C66" t="s">
        <v>92</v>
      </c>
      <c r="E66" s="3"/>
      <c r="F66" s="3">
        <f>F65/E65*100</f>
        <v>0</v>
      </c>
      <c r="G66" s="3">
        <f>G65/E65*100</f>
        <v>46.046046046046044</v>
      </c>
      <c r="H66" s="3">
        <f>H65/E65*100</f>
        <v>24.324324324324323</v>
      </c>
      <c r="I66" s="3">
        <f>I65/E65*100</f>
        <v>29.629629629629626</v>
      </c>
      <c r="J66" s="3">
        <f>J65/E65*100</f>
        <v>0</v>
      </c>
    </row>
    <row r="67" spans="1:10" x14ac:dyDescent="0.35">
      <c r="B67" s="2"/>
      <c r="E67" s="3"/>
      <c r="F67" s="3"/>
      <c r="G67" s="3"/>
      <c r="H67" s="3"/>
      <c r="I67" s="3"/>
      <c r="J67" s="3"/>
    </row>
    <row r="68" spans="1:10" x14ac:dyDescent="0.35">
      <c r="A68" t="s">
        <v>101</v>
      </c>
      <c r="B68">
        <v>7.9790000000000004E-4</v>
      </c>
      <c r="C68" t="s">
        <v>109</v>
      </c>
      <c r="D68">
        <v>3</v>
      </c>
      <c r="E68">
        <v>0.23599999999999999</v>
      </c>
      <c r="F68" s="3"/>
      <c r="G68" s="3"/>
      <c r="H68">
        <v>0.23599999999999999</v>
      </c>
      <c r="I68" s="3"/>
      <c r="J68" s="3"/>
    </row>
    <row r="69" spans="1:10" x14ac:dyDescent="0.35">
      <c r="B69" s="2"/>
      <c r="C69" t="s">
        <v>106</v>
      </c>
      <c r="D69">
        <v>34</v>
      </c>
      <c r="E69">
        <v>0.41599999999999998</v>
      </c>
      <c r="F69" s="3"/>
      <c r="G69" s="3"/>
      <c r="H69" s="3"/>
      <c r="I69">
        <v>0.41599999999999998</v>
      </c>
      <c r="J69" s="3"/>
    </row>
    <row r="70" spans="1:10" x14ac:dyDescent="0.35">
      <c r="B70" s="2"/>
      <c r="C70" t="s">
        <v>107</v>
      </c>
      <c r="D70">
        <v>23</v>
      </c>
      <c r="E70">
        <v>0.34799999999999998</v>
      </c>
      <c r="F70" s="3"/>
      <c r="G70">
        <v>0.34799999999999998</v>
      </c>
      <c r="H70" s="3"/>
      <c r="I70" s="3"/>
      <c r="J70" s="3"/>
    </row>
    <row r="71" spans="1:10" x14ac:dyDescent="0.35">
      <c r="B71" s="2"/>
      <c r="C71" t="s">
        <v>91</v>
      </c>
      <c r="E71" s="3">
        <f t="shared" ref="E71:J71" si="11">SUM(E68:E70)</f>
        <v>0.99999999999999989</v>
      </c>
      <c r="F71" s="3">
        <f t="shared" si="11"/>
        <v>0</v>
      </c>
      <c r="G71" s="3">
        <f t="shared" si="11"/>
        <v>0.34799999999999998</v>
      </c>
      <c r="H71" s="3">
        <f t="shared" si="11"/>
        <v>0.23599999999999999</v>
      </c>
      <c r="I71" s="3">
        <f t="shared" si="11"/>
        <v>0.41599999999999998</v>
      </c>
      <c r="J71" s="3">
        <f t="shared" si="11"/>
        <v>0</v>
      </c>
    </row>
    <row r="72" spans="1:10" x14ac:dyDescent="0.35">
      <c r="B72" s="2"/>
      <c r="C72" t="s">
        <v>92</v>
      </c>
      <c r="E72" s="3"/>
      <c r="F72" s="3">
        <f>F71/E71*100</f>
        <v>0</v>
      </c>
      <c r="G72" s="3">
        <f>G71/E71*100</f>
        <v>34.800000000000004</v>
      </c>
      <c r="H72" s="3">
        <f>H71/E71*100</f>
        <v>23.6</v>
      </c>
      <c r="I72" s="3">
        <f>I71/E71*100</f>
        <v>41.6</v>
      </c>
      <c r="J72" s="3">
        <f>J71/E71*100</f>
        <v>0</v>
      </c>
    </row>
    <row r="73" spans="1:10" x14ac:dyDescent="0.35">
      <c r="B73" s="2"/>
      <c r="E73" s="3"/>
      <c r="F73" s="3"/>
      <c r="G73" s="3"/>
      <c r="H73" s="3"/>
      <c r="I73" s="3"/>
      <c r="J73" s="3"/>
    </row>
    <row r="74" spans="1:10" x14ac:dyDescent="0.35">
      <c r="A74" t="s">
        <v>102</v>
      </c>
      <c r="B74">
        <v>1.0608E-3</v>
      </c>
      <c r="C74" t="s">
        <v>109</v>
      </c>
      <c r="D74">
        <v>3</v>
      </c>
      <c r="E74">
        <v>0.189</v>
      </c>
      <c r="F74" s="3"/>
      <c r="G74" s="3"/>
      <c r="H74">
        <v>0.189</v>
      </c>
      <c r="I74" s="3"/>
      <c r="J74" s="3"/>
    </row>
    <row r="75" spans="1:10" x14ac:dyDescent="0.35">
      <c r="B75" s="2"/>
      <c r="C75" t="s">
        <v>107</v>
      </c>
      <c r="D75">
        <v>23</v>
      </c>
      <c r="E75">
        <v>0.38400000000000001</v>
      </c>
      <c r="F75" s="3"/>
      <c r="G75">
        <v>0.38400000000000001</v>
      </c>
      <c r="H75" s="3"/>
      <c r="I75" s="3"/>
      <c r="J75" s="3"/>
    </row>
    <row r="76" spans="1:10" x14ac:dyDescent="0.35">
      <c r="B76" s="2"/>
      <c r="C76" s="6" t="s">
        <v>112</v>
      </c>
      <c r="D76">
        <v>3</v>
      </c>
      <c r="E76">
        <v>0.42599999999999999</v>
      </c>
      <c r="F76" s="3"/>
      <c r="G76" s="3"/>
      <c r="H76">
        <v>0.42599999999999999</v>
      </c>
      <c r="I76" s="3"/>
      <c r="J76" s="3"/>
    </row>
    <row r="77" spans="1:10" x14ac:dyDescent="0.35">
      <c r="B77" s="2"/>
      <c r="C77" t="s">
        <v>91</v>
      </c>
      <c r="E77" s="3">
        <f t="shared" ref="E77:J77" si="12">SUM(E74:E76)</f>
        <v>0.99899999999999989</v>
      </c>
      <c r="F77" s="3">
        <f t="shared" si="12"/>
        <v>0</v>
      </c>
      <c r="G77" s="3">
        <f t="shared" si="12"/>
        <v>0.38400000000000001</v>
      </c>
      <c r="H77" s="3">
        <f t="shared" si="12"/>
        <v>0.61499999999999999</v>
      </c>
      <c r="I77" s="3">
        <f t="shared" si="12"/>
        <v>0</v>
      </c>
      <c r="J77" s="3">
        <f t="shared" si="12"/>
        <v>0</v>
      </c>
    </row>
    <row r="78" spans="1:10" x14ac:dyDescent="0.35">
      <c r="B78" s="2"/>
      <c r="C78" t="s">
        <v>92</v>
      </c>
      <c r="E78" s="3"/>
      <c r="F78" s="3">
        <f>F77/E77*100</f>
        <v>0</v>
      </c>
      <c r="G78" s="3">
        <f>G77/E77*100</f>
        <v>38.438438438438446</v>
      </c>
      <c r="H78" s="3">
        <f>H77/E77*100</f>
        <v>61.561561561561575</v>
      </c>
      <c r="I78" s="3">
        <f>I77/E77*100</f>
        <v>0</v>
      </c>
      <c r="J78" s="3">
        <f>J77/E77*100</f>
        <v>0</v>
      </c>
    </row>
    <row r="79" spans="1:10" x14ac:dyDescent="0.35">
      <c r="B79" s="2"/>
      <c r="E79" s="3"/>
      <c r="F79" s="3"/>
      <c r="G79" s="3"/>
      <c r="H79" s="3"/>
      <c r="I79" s="3"/>
      <c r="J79" s="3"/>
    </row>
    <row r="80" spans="1:10" x14ac:dyDescent="0.35">
      <c r="A80" t="s">
        <v>122</v>
      </c>
      <c r="B80" s="7">
        <v>1.2281E-3</v>
      </c>
      <c r="C80" t="s">
        <v>107</v>
      </c>
      <c r="D80">
        <v>23</v>
      </c>
      <c r="E80" s="7">
        <v>0.379</v>
      </c>
      <c r="F80" s="8"/>
      <c r="G80" s="7">
        <v>0.379</v>
      </c>
      <c r="H80" s="7"/>
      <c r="I80" s="8"/>
      <c r="J80" s="8"/>
    </row>
    <row r="81" spans="2:10" x14ac:dyDescent="0.35">
      <c r="B81" s="9"/>
      <c r="C81" t="s">
        <v>106</v>
      </c>
      <c r="D81">
        <v>34</v>
      </c>
      <c r="E81" s="7">
        <v>0.39100000000000001</v>
      </c>
      <c r="F81" s="8"/>
      <c r="G81" s="7"/>
      <c r="H81" s="8"/>
      <c r="I81" s="7">
        <v>0.39100000000000001</v>
      </c>
      <c r="J81" s="8"/>
    </row>
    <row r="82" spans="2:10" x14ac:dyDescent="0.35">
      <c r="B82" s="9"/>
      <c r="C82" t="s">
        <v>109</v>
      </c>
      <c r="D82">
        <v>3</v>
      </c>
      <c r="E82" s="7">
        <v>0.23</v>
      </c>
      <c r="F82" s="8"/>
      <c r="G82" s="8"/>
      <c r="H82" s="7">
        <v>0.23</v>
      </c>
      <c r="I82" s="8"/>
      <c r="J82" s="8"/>
    </row>
    <row r="83" spans="2:10" x14ac:dyDescent="0.35">
      <c r="B83" s="2"/>
      <c r="C83" t="s">
        <v>91</v>
      </c>
      <c r="E83" s="3">
        <f t="shared" ref="E83:J83" si="13">SUM(E80:E82)</f>
        <v>1</v>
      </c>
      <c r="F83" s="3">
        <f t="shared" si="13"/>
        <v>0</v>
      </c>
      <c r="G83" s="3">
        <f t="shared" si="13"/>
        <v>0.379</v>
      </c>
      <c r="H83" s="3">
        <f t="shared" si="13"/>
        <v>0.23</v>
      </c>
      <c r="I83" s="3">
        <f t="shared" si="13"/>
        <v>0.39100000000000001</v>
      </c>
      <c r="J83" s="3">
        <f t="shared" si="13"/>
        <v>0</v>
      </c>
    </row>
    <row r="84" spans="2:10" x14ac:dyDescent="0.35">
      <c r="B84" s="2"/>
      <c r="C84" t="s">
        <v>92</v>
      </c>
      <c r="E84" s="3"/>
      <c r="F84" s="3">
        <f>F83/E83*100</f>
        <v>0</v>
      </c>
      <c r="G84" s="3">
        <f>G83/E83*100</f>
        <v>37.9</v>
      </c>
      <c r="H84" s="3">
        <f>H83/E83*100</f>
        <v>23</v>
      </c>
      <c r="I84" s="3">
        <f>I83/E83*100</f>
        <v>39.1</v>
      </c>
      <c r="J84" s="3">
        <f>J83/E83*100</f>
        <v>0</v>
      </c>
    </row>
    <row r="85" spans="2:10" x14ac:dyDescent="0.35">
      <c r="B85" s="2"/>
      <c r="E85" s="3"/>
      <c r="F85" s="3"/>
      <c r="G85" s="3"/>
      <c r="H85" s="3"/>
      <c r="I85" s="3"/>
      <c r="J85" s="3"/>
    </row>
    <row r="86" spans="2:10" x14ac:dyDescent="0.35">
      <c r="B86" s="2"/>
      <c r="E86" s="3"/>
      <c r="F86" s="3"/>
      <c r="G86" s="3"/>
      <c r="H86" s="3"/>
      <c r="I86" s="3"/>
      <c r="J86" s="3"/>
    </row>
    <row r="87" spans="2:10" x14ac:dyDescent="0.35">
      <c r="B87" s="2"/>
      <c r="E87" s="3"/>
      <c r="F87" s="3"/>
      <c r="G87" s="3"/>
      <c r="H87" s="3"/>
      <c r="I87" s="3"/>
      <c r="J87" s="3"/>
    </row>
    <row r="88" spans="2:10" x14ac:dyDescent="0.35">
      <c r="B88" s="2"/>
      <c r="E88" s="3"/>
      <c r="F88" s="3"/>
      <c r="G88" s="3"/>
      <c r="H88" s="3"/>
      <c r="I88" s="3"/>
      <c r="J88" s="3"/>
    </row>
    <row r="89" spans="2:10" x14ac:dyDescent="0.35">
      <c r="B89" s="2"/>
      <c r="E89" s="3"/>
      <c r="F89" s="3"/>
      <c r="G89" s="3"/>
      <c r="H89" s="3"/>
      <c r="I89" s="3"/>
      <c r="J89" s="3"/>
    </row>
    <row r="90" spans="2:10" x14ac:dyDescent="0.35">
      <c r="B90" s="2"/>
      <c r="E90" s="3"/>
      <c r="F90" s="3"/>
      <c r="G90" s="3"/>
      <c r="H90" s="3"/>
      <c r="I90" s="3"/>
      <c r="J90" s="3"/>
    </row>
    <row r="91" spans="2:10" x14ac:dyDescent="0.35">
      <c r="B91" s="2"/>
      <c r="E91" s="3"/>
      <c r="F91" s="3"/>
      <c r="G91" s="3"/>
      <c r="H91" s="3"/>
      <c r="I91" s="3"/>
      <c r="J91" s="3"/>
    </row>
    <row r="92" spans="2:10" x14ac:dyDescent="0.35">
      <c r="B92" s="2"/>
      <c r="E92" s="3"/>
      <c r="F92" s="3"/>
      <c r="G92" s="3"/>
      <c r="H92" s="3"/>
      <c r="I92" s="3"/>
      <c r="J92" s="3"/>
    </row>
    <row r="93" spans="2:10" x14ac:dyDescent="0.35">
      <c r="B93" s="2"/>
      <c r="E93" s="3"/>
      <c r="F93" s="3"/>
      <c r="G93" s="3"/>
      <c r="H93" s="3"/>
      <c r="I93" s="3"/>
      <c r="J93" s="3"/>
    </row>
    <row r="94" spans="2:10" x14ac:dyDescent="0.35">
      <c r="B94" s="2"/>
      <c r="E94" s="3"/>
      <c r="F94" s="3"/>
      <c r="G94" s="3"/>
      <c r="H94" s="3"/>
      <c r="I94" s="3"/>
      <c r="J94" s="3"/>
    </row>
    <row r="95" spans="2:10" x14ac:dyDescent="0.35">
      <c r="B95" s="2"/>
      <c r="E95" s="3"/>
      <c r="F95" s="3"/>
      <c r="G95" s="3"/>
      <c r="H95" s="3"/>
      <c r="I95" s="3"/>
      <c r="J95" s="3"/>
    </row>
    <row r="96" spans="2:10" x14ac:dyDescent="0.35">
      <c r="B96" s="2"/>
      <c r="E96" s="3"/>
      <c r="F96" s="3"/>
      <c r="G96" s="3"/>
      <c r="H96" s="3"/>
      <c r="I96" s="3"/>
      <c r="J96" s="3"/>
    </row>
    <row r="97" spans="2:10" x14ac:dyDescent="0.35">
      <c r="B97" s="2"/>
      <c r="E97" s="3"/>
      <c r="F97" s="3"/>
      <c r="G97" s="3"/>
      <c r="H97" s="3"/>
      <c r="I97" s="3"/>
      <c r="J97" s="3"/>
    </row>
    <row r="98" spans="2:10" x14ac:dyDescent="0.35">
      <c r="B98" s="2"/>
      <c r="E98" s="3"/>
      <c r="F98" s="3"/>
      <c r="G98" s="3"/>
      <c r="H98" s="3"/>
      <c r="I98" s="3"/>
      <c r="J98" s="3"/>
    </row>
    <row r="99" spans="2:10" x14ac:dyDescent="0.35">
      <c r="B99" s="2"/>
      <c r="E99" s="3"/>
      <c r="F99" s="3"/>
      <c r="G99" s="3"/>
      <c r="H99" s="3"/>
      <c r="I99" s="3"/>
      <c r="J99" s="3"/>
    </row>
    <row r="100" spans="2:10" x14ac:dyDescent="0.35">
      <c r="B100" s="2"/>
      <c r="E100" s="3"/>
      <c r="F100" s="3"/>
      <c r="G100" s="3"/>
      <c r="H100" s="3"/>
      <c r="I100" s="3"/>
      <c r="J100" s="3"/>
    </row>
    <row r="101" spans="2:10" x14ac:dyDescent="0.35">
      <c r="B101" s="2"/>
      <c r="E101" s="3"/>
      <c r="F101" s="3"/>
      <c r="G101" s="3"/>
      <c r="H101" s="3"/>
      <c r="I101" s="3"/>
      <c r="J101" s="3"/>
    </row>
    <row r="102" spans="2:10" x14ac:dyDescent="0.35">
      <c r="B102" s="2"/>
      <c r="E102" s="3"/>
      <c r="F102" s="3"/>
      <c r="G102" s="3"/>
      <c r="H102" s="3"/>
      <c r="I102" s="3"/>
      <c r="J102" s="3"/>
    </row>
    <row r="103" spans="2:10" x14ac:dyDescent="0.35">
      <c r="B103" s="2"/>
      <c r="E103" s="3"/>
      <c r="F103" s="3"/>
      <c r="G103" s="3"/>
      <c r="H103" s="3"/>
      <c r="I103" s="3"/>
      <c r="J103" s="3"/>
    </row>
    <row r="104" spans="2:10" x14ac:dyDescent="0.35">
      <c r="B104" s="2"/>
      <c r="E104" s="3"/>
      <c r="F104" s="3"/>
      <c r="G104" s="3"/>
      <c r="H104" s="3"/>
      <c r="I104" s="3"/>
      <c r="J104" s="3"/>
    </row>
    <row r="105" spans="2:10" x14ac:dyDescent="0.35">
      <c r="B105" s="2"/>
      <c r="E105" s="3"/>
      <c r="F105" s="3"/>
      <c r="G105" s="3"/>
      <c r="H105" s="3"/>
      <c r="I105" s="3"/>
      <c r="J105" s="3"/>
    </row>
    <row r="106" spans="2:10" x14ac:dyDescent="0.35">
      <c r="B106" s="2"/>
      <c r="E106" s="3"/>
      <c r="F106" s="3"/>
      <c r="G106" s="3"/>
      <c r="H106" s="3"/>
      <c r="I106" s="3"/>
      <c r="J106" s="3"/>
    </row>
    <row r="107" spans="2:10" x14ac:dyDescent="0.35">
      <c r="B107" s="2"/>
      <c r="E107" s="3"/>
      <c r="F107" s="3"/>
      <c r="G107" s="3"/>
      <c r="H107" s="3"/>
      <c r="I107" s="3"/>
      <c r="J107" s="3"/>
    </row>
    <row r="108" spans="2:10" x14ac:dyDescent="0.35">
      <c r="B108" s="2"/>
      <c r="E108" s="3"/>
      <c r="F108" s="3"/>
      <c r="G108" s="3"/>
      <c r="H108" s="3"/>
      <c r="I108" s="3"/>
      <c r="J108" s="3"/>
    </row>
    <row r="109" spans="2:10" x14ac:dyDescent="0.35">
      <c r="B109" s="2"/>
      <c r="E109" s="3"/>
      <c r="F109" s="3"/>
      <c r="G109" s="3"/>
      <c r="H109" s="3"/>
      <c r="I109" s="3"/>
      <c r="J109" s="3"/>
    </row>
    <row r="110" spans="2:10" x14ac:dyDescent="0.35">
      <c r="B110" s="2"/>
      <c r="E110" s="3"/>
      <c r="F110" s="3"/>
      <c r="G110" s="3"/>
      <c r="H110" s="3"/>
      <c r="I110" s="3"/>
      <c r="J110" s="3"/>
    </row>
    <row r="111" spans="2:10" x14ac:dyDescent="0.35">
      <c r="B111" s="2"/>
      <c r="E111" s="3"/>
      <c r="F111" s="3"/>
      <c r="G111" s="3"/>
      <c r="H111" s="3"/>
      <c r="I111" s="3"/>
      <c r="J111" s="3"/>
    </row>
    <row r="112" spans="2:10" x14ac:dyDescent="0.35">
      <c r="B112" s="2"/>
      <c r="E112" s="3"/>
      <c r="F112" s="3"/>
      <c r="G112" s="3"/>
      <c r="H112" s="3"/>
      <c r="I112" s="3"/>
      <c r="J112" s="3"/>
    </row>
    <row r="113" spans="2:10" x14ac:dyDescent="0.35">
      <c r="B113" s="2"/>
      <c r="E113" s="3"/>
      <c r="F113" s="3"/>
      <c r="G113" s="3"/>
      <c r="H113" s="3"/>
      <c r="I113" s="3"/>
      <c r="J113" s="3"/>
    </row>
    <row r="114" spans="2:10" x14ac:dyDescent="0.35">
      <c r="B114" s="2"/>
      <c r="E114" s="3"/>
      <c r="F114" s="3"/>
      <c r="G114" s="3"/>
      <c r="H114" s="3"/>
      <c r="I114" s="3"/>
      <c r="J114" s="3"/>
    </row>
    <row r="115" spans="2:10" x14ac:dyDescent="0.35">
      <c r="B115" s="2"/>
      <c r="E115" s="3"/>
      <c r="F115" s="3"/>
      <c r="G115" s="3"/>
      <c r="H115" s="3"/>
      <c r="I115" s="3"/>
      <c r="J115" s="3"/>
    </row>
    <row r="116" spans="2:10" x14ac:dyDescent="0.35">
      <c r="B116" s="2"/>
      <c r="E116" s="3"/>
      <c r="F116" s="3"/>
      <c r="G116" s="3"/>
      <c r="H116" s="3"/>
      <c r="I116" s="3"/>
      <c r="J116" s="3"/>
    </row>
    <row r="117" spans="2:10" x14ac:dyDescent="0.35">
      <c r="B117" s="2"/>
      <c r="E117" s="3"/>
      <c r="F117" s="3"/>
      <c r="G117" s="3"/>
      <c r="H117" s="3"/>
      <c r="I117" s="3"/>
      <c r="J117" s="3"/>
    </row>
    <row r="118" spans="2:10" x14ac:dyDescent="0.35">
      <c r="B118" s="2"/>
      <c r="E118" s="3"/>
      <c r="F118" s="3"/>
      <c r="G118" s="3"/>
      <c r="H118" s="3"/>
      <c r="I118" s="3"/>
      <c r="J118" s="3"/>
    </row>
    <row r="119" spans="2:10" x14ac:dyDescent="0.35">
      <c r="B119" s="2"/>
      <c r="E119" s="3"/>
      <c r="F119" s="3"/>
      <c r="G119" s="3"/>
      <c r="H119" s="3"/>
      <c r="I119" s="3"/>
      <c r="J119" s="3"/>
    </row>
    <row r="120" spans="2:10" x14ac:dyDescent="0.35">
      <c r="B120" s="2"/>
      <c r="E120" s="3"/>
      <c r="F120" s="3"/>
      <c r="G120" s="3"/>
      <c r="H120" s="3"/>
      <c r="I120" s="3"/>
      <c r="J120" s="3"/>
    </row>
    <row r="121" spans="2:10" x14ac:dyDescent="0.35">
      <c r="B121" s="2"/>
      <c r="E121" s="3"/>
      <c r="F121" s="3"/>
      <c r="G121" s="3"/>
      <c r="H121" s="3"/>
      <c r="I121" s="3"/>
      <c r="J121" s="3"/>
    </row>
    <row r="122" spans="2:10" x14ac:dyDescent="0.35">
      <c r="B122" s="2"/>
      <c r="E122" s="3"/>
      <c r="F122" s="3"/>
      <c r="G122" s="3"/>
      <c r="H122" s="3"/>
      <c r="I122" s="3"/>
      <c r="J122" s="3"/>
    </row>
    <row r="123" spans="2:10" x14ac:dyDescent="0.35">
      <c r="B123" s="2"/>
      <c r="E123" s="3"/>
      <c r="F123" s="3"/>
      <c r="G123" s="3"/>
      <c r="H123" s="3"/>
      <c r="I123" s="3"/>
      <c r="J123" s="3"/>
    </row>
    <row r="124" spans="2:10" x14ac:dyDescent="0.35">
      <c r="B124" s="2"/>
      <c r="E124" s="3"/>
      <c r="F124" s="3"/>
      <c r="G124" s="3"/>
      <c r="H124" s="3"/>
      <c r="I124" s="3"/>
      <c r="J124" s="3"/>
    </row>
    <row r="125" spans="2:10" x14ac:dyDescent="0.35">
      <c r="B125" s="2"/>
      <c r="E125" s="3"/>
      <c r="F125" s="3"/>
      <c r="G125" s="3"/>
      <c r="H125" s="3"/>
      <c r="I125" s="3"/>
      <c r="J125" s="3"/>
    </row>
    <row r="126" spans="2:10" x14ac:dyDescent="0.35">
      <c r="B126" s="2"/>
      <c r="E126" s="3"/>
      <c r="F126" s="3"/>
      <c r="G126" s="3"/>
      <c r="H126" s="3"/>
      <c r="I126" s="3"/>
      <c r="J126" s="3"/>
    </row>
    <row r="127" spans="2:10" x14ac:dyDescent="0.35">
      <c r="B127" s="2"/>
      <c r="E127" s="3"/>
      <c r="F127" s="3"/>
      <c r="G127" s="3"/>
      <c r="H127" s="3"/>
      <c r="I127" s="3"/>
      <c r="J127" s="3"/>
    </row>
    <row r="128" spans="2:10" x14ac:dyDescent="0.35">
      <c r="B128" s="2"/>
      <c r="E128" s="3"/>
      <c r="F128" s="3"/>
      <c r="G128" s="3"/>
      <c r="H128" s="3"/>
      <c r="I128" s="3"/>
      <c r="J128" s="3"/>
    </row>
    <row r="129" spans="2:10" x14ac:dyDescent="0.35">
      <c r="B129" s="2"/>
      <c r="E129" s="3"/>
      <c r="F129" s="3"/>
      <c r="G129" s="3"/>
      <c r="H129" s="3"/>
      <c r="I129" s="3"/>
      <c r="J129" s="3"/>
    </row>
    <row r="130" spans="2:10" x14ac:dyDescent="0.35">
      <c r="B130" s="2"/>
      <c r="E130" s="3"/>
      <c r="F130" s="3"/>
      <c r="G130" s="3"/>
      <c r="H130" s="3"/>
      <c r="I130" s="3"/>
      <c r="J130" s="3"/>
    </row>
    <row r="131" spans="2:10" x14ac:dyDescent="0.35">
      <c r="B131" s="2"/>
      <c r="E131" s="3"/>
      <c r="F131" s="3"/>
      <c r="G131" s="3"/>
      <c r="H131" s="3"/>
      <c r="I131" s="3"/>
      <c r="J131" s="3"/>
    </row>
    <row r="132" spans="2:10" x14ac:dyDescent="0.35">
      <c r="B132" s="2"/>
      <c r="E132" s="3"/>
      <c r="F132" s="3"/>
      <c r="G132" s="3"/>
      <c r="H132" s="3"/>
      <c r="I132" s="3"/>
      <c r="J132" s="3"/>
    </row>
    <row r="133" spans="2:10" x14ac:dyDescent="0.35">
      <c r="B133" s="2"/>
      <c r="E133" s="3"/>
      <c r="F133" s="3"/>
      <c r="G133" s="3"/>
      <c r="H133" s="3"/>
      <c r="I133" s="3"/>
      <c r="J133" s="3"/>
    </row>
    <row r="134" spans="2:10" x14ac:dyDescent="0.35">
      <c r="B134" s="2"/>
      <c r="E134" s="3"/>
      <c r="F134" s="3"/>
      <c r="G134" s="3"/>
      <c r="H134" s="3"/>
      <c r="I134" s="3"/>
      <c r="J134" s="3"/>
    </row>
    <row r="135" spans="2:10" x14ac:dyDescent="0.35">
      <c r="B135" s="2"/>
      <c r="E135" s="3"/>
      <c r="F135" s="3"/>
      <c r="G135" s="3"/>
      <c r="H135" s="3"/>
      <c r="I135" s="3"/>
      <c r="J135" s="3"/>
    </row>
    <row r="136" spans="2:10" x14ac:dyDescent="0.35">
      <c r="B136" s="2"/>
      <c r="E136" s="3"/>
      <c r="F136" s="3"/>
      <c r="G136" s="3"/>
      <c r="H136" s="3"/>
      <c r="I136" s="3"/>
      <c r="J136" s="3"/>
    </row>
    <row r="137" spans="2:10" x14ac:dyDescent="0.35">
      <c r="B137" s="2"/>
      <c r="E137" s="3"/>
      <c r="F137" s="3"/>
      <c r="G137" s="3"/>
      <c r="H137" s="3"/>
      <c r="I137" s="3"/>
      <c r="J137" s="3"/>
    </row>
    <row r="138" spans="2:10" x14ac:dyDescent="0.35">
      <c r="B138" s="2"/>
      <c r="E138" s="3"/>
      <c r="F138" s="3"/>
      <c r="G138" s="3"/>
      <c r="H138" s="3"/>
      <c r="I138" s="3"/>
      <c r="J138" s="3"/>
    </row>
    <row r="139" spans="2:10" x14ac:dyDescent="0.35">
      <c r="B139" s="2"/>
      <c r="E139" s="3"/>
      <c r="F139" s="3"/>
      <c r="G139" s="3"/>
      <c r="H139" s="3"/>
      <c r="I139" s="3"/>
      <c r="J139" s="3"/>
    </row>
    <row r="140" spans="2:10" x14ac:dyDescent="0.35">
      <c r="B140" s="2"/>
      <c r="E140" s="3"/>
      <c r="F140" s="3"/>
      <c r="G140" s="3"/>
      <c r="H140" s="3"/>
      <c r="I140" s="3"/>
      <c r="J140" s="3"/>
    </row>
    <row r="141" spans="2:10" x14ac:dyDescent="0.35">
      <c r="B141" s="2"/>
      <c r="E141" s="3"/>
      <c r="F141" s="3"/>
      <c r="G141" s="3"/>
      <c r="H141" s="3"/>
      <c r="I141" s="3"/>
      <c r="J141" s="3"/>
    </row>
    <row r="142" spans="2:10" x14ac:dyDescent="0.35">
      <c r="B142" s="2"/>
      <c r="E142" s="3"/>
      <c r="F142" s="3"/>
      <c r="G142" s="3"/>
      <c r="H142" s="3"/>
      <c r="I142" s="3"/>
      <c r="J142" s="3"/>
    </row>
    <row r="143" spans="2:10" x14ac:dyDescent="0.35">
      <c r="B143" s="2"/>
      <c r="E143" s="3"/>
      <c r="F143" s="3"/>
      <c r="G143" s="3"/>
      <c r="H143" s="3"/>
      <c r="I143" s="3"/>
      <c r="J143" s="3"/>
    </row>
    <row r="144" spans="2:10" x14ac:dyDescent="0.35">
      <c r="B144" s="2"/>
      <c r="E144" s="3"/>
      <c r="F144" s="3"/>
      <c r="G144" s="3"/>
      <c r="H144" s="3"/>
      <c r="I144" s="3"/>
      <c r="J144" s="3"/>
    </row>
    <row r="145" spans="2:10" x14ac:dyDescent="0.35">
      <c r="B145" s="2"/>
      <c r="E145" s="3"/>
      <c r="F145" s="3"/>
      <c r="G145" s="3"/>
      <c r="H145" s="3"/>
      <c r="I145" s="3"/>
      <c r="J145" s="3"/>
    </row>
    <row r="146" spans="2:10" x14ac:dyDescent="0.35">
      <c r="B146" s="2"/>
      <c r="E146" s="3"/>
      <c r="F146" s="3"/>
      <c r="G146" s="3"/>
      <c r="H146" s="3"/>
      <c r="I146" s="3"/>
      <c r="J146" s="3"/>
    </row>
    <row r="147" spans="2:10" x14ac:dyDescent="0.35">
      <c r="B147" s="2"/>
      <c r="E147" s="3"/>
      <c r="F147" s="3"/>
      <c r="G147" s="3"/>
      <c r="H147" s="3"/>
      <c r="I147" s="3"/>
      <c r="J147" s="3"/>
    </row>
    <row r="148" spans="2:10" x14ac:dyDescent="0.35">
      <c r="B148" s="2"/>
      <c r="E148" s="3"/>
      <c r="F148" s="3"/>
      <c r="G148" s="3"/>
      <c r="H148" s="3"/>
      <c r="I148" s="3"/>
      <c r="J148" s="3"/>
    </row>
    <row r="149" spans="2:10" x14ac:dyDescent="0.35">
      <c r="B149" s="2"/>
      <c r="E149" s="3"/>
      <c r="F149" s="3"/>
      <c r="G149" s="3"/>
      <c r="H149" s="3"/>
      <c r="I149" s="3"/>
      <c r="J149" s="3"/>
    </row>
    <row r="150" spans="2:10" x14ac:dyDescent="0.35">
      <c r="B150" s="2"/>
      <c r="E150" s="3"/>
      <c r="F150" s="3"/>
      <c r="G150" s="3"/>
      <c r="H150" s="3"/>
      <c r="I150" s="3"/>
      <c r="J150" s="3"/>
    </row>
    <row r="151" spans="2:10" x14ac:dyDescent="0.35">
      <c r="B151" s="2"/>
      <c r="E151" s="3"/>
      <c r="F151" s="3"/>
      <c r="G151" s="3"/>
      <c r="H151" s="3"/>
      <c r="I151" s="3"/>
      <c r="J151" s="3"/>
    </row>
    <row r="152" spans="2:10" x14ac:dyDescent="0.35">
      <c r="B152" s="2"/>
      <c r="E152" s="3"/>
      <c r="F152" s="3"/>
      <c r="G152" s="3"/>
      <c r="H152" s="3"/>
      <c r="I152" s="3"/>
      <c r="J152" s="3"/>
    </row>
    <row r="153" spans="2:10" x14ac:dyDescent="0.35">
      <c r="B153" s="2"/>
      <c r="E153" s="3"/>
      <c r="F153" s="3"/>
      <c r="G153" s="3"/>
      <c r="H153" s="3"/>
      <c r="I153" s="3"/>
      <c r="J153" s="3"/>
    </row>
    <row r="154" spans="2:10" x14ac:dyDescent="0.35">
      <c r="B154" s="2"/>
      <c r="E154" s="3"/>
      <c r="F154" s="3"/>
      <c r="G154" s="3"/>
      <c r="H154" s="3"/>
      <c r="I154" s="3"/>
      <c r="J154" s="3"/>
    </row>
    <row r="155" spans="2:10" x14ac:dyDescent="0.35">
      <c r="B155" s="2"/>
      <c r="E155" s="3"/>
      <c r="F155" s="3"/>
      <c r="G155" s="3"/>
      <c r="H155" s="3"/>
      <c r="I155" s="3"/>
      <c r="J155" s="3"/>
    </row>
    <row r="156" spans="2:10" x14ac:dyDescent="0.35">
      <c r="B156" s="2"/>
      <c r="E156" s="3"/>
      <c r="F156" s="3"/>
      <c r="G156" s="3"/>
      <c r="H156" s="3"/>
      <c r="I156" s="3"/>
      <c r="J156" s="3"/>
    </row>
    <row r="157" spans="2:10" x14ac:dyDescent="0.35">
      <c r="B157" s="2"/>
      <c r="E157" s="3"/>
      <c r="F157" s="3"/>
      <c r="G157" s="3"/>
      <c r="H157" s="3"/>
      <c r="I157" s="3"/>
      <c r="J157" s="3"/>
    </row>
    <row r="158" spans="2:10" x14ac:dyDescent="0.35">
      <c r="B158" s="2"/>
      <c r="E158" s="3"/>
      <c r="F158" s="3"/>
      <c r="G158" s="3"/>
      <c r="H158" s="3"/>
      <c r="I158" s="3"/>
      <c r="J158" s="3"/>
    </row>
    <row r="159" spans="2:10" x14ac:dyDescent="0.35">
      <c r="B159" s="2"/>
      <c r="E159" s="3"/>
      <c r="F159" s="3"/>
      <c r="G159" s="3"/>
      <c r="H159" s="3"/>
      <c r="I159" s="3"/>
      <c r="J159" s="3"/>
    </row>
    <row r="160" spans="2:10" x14ac:dyDescent="0.35">
      <c r="B160" s="2"/>
      <c r="E160" s="3"/>
      <c r="F160" s="3"/>
      <c r="G160" s="3"/>
      <c r="H160" s="3"/>
      <c r="I160" s="3"/>
      <c r="J160" s="3"/>
    </row>
    <row r="161" spans="2:10" x14ac:dyDescent="0.35">
      <c r="B161" s="2"/>
      <c r="E161" s="3"/>
      <c r="F161" s="3"/>
      <c r="G161" s="3"/>
      <c r="H161" s="3"/>
      <c r="I161" s="3"/>
      <c r="J161" s="3"/>
    </row>
    <row r="162" spans="2:10" x14ac:dyDescent="0.35">
      <c r="B162" s="2"/>
      <c r="E162" s="3"/>
      <c r="F162" s="3"/>
      <c r="G162" s="3"/>
      <c r="H162" s="3"/>
      <c r="I162" s="3"/>
      <c r="J162" s="3"/>
    </row>
    <row r="163" spans="2:10" x14ac:dyDescent="0.35">
      <c r="B163" s="2"/>
      <c r="E163" s="3"/>
      <c r="F163" s="3"/>
      <c r="G163" s="3"/>
      <c r="H163" s="3"/>
      <c r="I163" s="3"/>
      <c r="J163" s="3"/>
    </row>
    <row r="164" spans="2:10" x14ac:dyDescent="0.35">
      <c r="B164" s="2"/>
      <c r="E164" s="3"/>
      <c r="F164" s="3"/>
      <c r="G164" s="3"/>
      <c r="H164" s="3"/>
      <c r="I164" s="3"/>
      <c r="J164" s="3"/>
    </row>
    <row r="165" spans="2:10" x14ac:dyDescent="0.35">
      <c r="B165" s="2"/>
      <c r="E165" s="3"/>
      <c r="F165" s="3"/>
      <c r="G165" s="3"/>
      <c r="H165" s="3"/>
      <c r="I165" s="3"/>
      <c r="J165" s="3"/>
    </row>
    <row r="166" spans="2:10" x14ac:dyDescent="0.35">
      <c r="B166" s="2"/>
      <c r="E166" s="3"/>
      <c r="F166" s="3"/>
      <c r="G166" s="3"/>
      <c r="H166" s="3"/>
      <c r="I166" s="3"/>
      <c r="J166" s="3"/>
    </row>
    <row r="167" spans="2:10" x14ac:dyDescent="0.35">
      <c r="B167" s="2"/>
      <c r="E167" s="3"/>
      <c r="F167" s="3"/>
      <c r="G167" s="3"/>
      <c r="H167" s="3"/>
      <c r="I167" s="3"/>
      <c r="J167" s="3"/>
    </row>
    <row r="168" spans="2:10" x14ac:dyDescent="0.35">
      <c r="B168" s="2"/>
      <c r="E168" s="3"/>
      <c r="F168" s="3"/>
      <c r="G168" s="3"/>
      <c r="H168" s="3"/>
      <c r="I168" s="3"/>
      <c r="J168" s="3"/>
    </row>
    <row r="169" spans="2:10" x14ac:dyDescent="0.35">
      <c r="B169" s="2"/>
      <c r="E169" s="3"/>
      <c r="F169" s="3"/>
      <c r="G169" s="3"/>
      <c r="H169" s="3"/>
      <c r="I169" s="3"/>
      <c r="J169" s="3"/>
    </row>
    <row r="170" spans="2:10" x14ac:dyDescent="0.35">
      <c r="B170" s="2"/>
      <c r="E170" s="3"/>
      <c r="F170" s="3"/>
      <c r="G170" s="3"/>
      <c r="H170" s="3"/>
      <c r="I170" s="3"/>
      <c r="J170" s="3"/>
    </row>
    <row r="171" spans="2:10" x14ac:dyDescent="0.35">
      <c r="B171" s="2"/>
      <c r="E171" s="3"/>
      <c r="F171" s="3"/>
      <c r="G171" s="3"/>
      <c r="H171" s="3"/>
      <c r="I171" s="3"/>
      <c r="J171" s="3"/>
    </row>
    <row r="172" spans="2:10" x14ac:dyDescent="0.35">
      <c r="B172" s="2"/>
      <c r="E172" s="3"/>
      <c r="F172" s="3"/>
      <c r="G172" s="3"/>
      <c r="H172" s="3"/>
      <c r="I172" s="3"/>
      <c r="J172" s="3"/>
    </row>
    <row r="173" spans="2:10" x14ac:dyDescent="0.35">
      <c r="B173" s="2"/>
      <c r="E173" s="3"/>
      <c r="F173" s="3"/>
      <c r="G173" s="3"/>
      <c r="H173" s="3"/>
      <c r="I173" s="3"/>
      <c r="J173" s="3"/>
    </row>
    <row r="174" spans="2:10" x14ac:dyDescent="0.35">
      <c r="B174" s="2"/>
      <c r="E174" s="3"/>
      <c r="F174" s="3"/>
      <c r="G174" s="3"/>
      <c r="H174" s="3"/>
      <c r="I174" s="3"/>
      <c r="J174" s="3"/>
    </row>
    <row r="175" spans="2:10" x14ac:dyDescent="0.35">
      <c r="B175" s="2"/>
      <c r="E175" s="3"/>
      <c r="F175" s="3"/>
      <c r="G175" s="3"/>
      <c r="H175" s="3"/>
      <c r="I175" s="3"/>
      <c r="J175" s="3"/>
    </row>
    <row r="176" spans="2:10" x14ac:dyDescent="0.35">
      <c r="B176" s="2"/>
      <c r="E176" s="3"/>
      <c r="F176" s="3"/>
      <c r="G176" s="3"/>
      <c r="H176" s="3"/>
      <c r="I176" s="3"/>
      <c r="J176" s="3"/>
    </row>
    <row r="177" spans="2:10" x14ac:dyDescent="0.35">
      <c r="B177" s="2"/>
      <c r="E177" s="3"/>
      <c r="F177" s="3"/>
      <c r="G177" s="3"/>
      <c r="H177" s="3"/>
      <c r="I177" s="3"/>
      <c r="J177" s="3"/>
    </row>
    <row r="178" spans="2:10" x14ac:dyDescent="0.35">
      <c r="B178" s="2"/>
      <c r="E178" s="3"/>
      <c r="F178" s="3"/>
      <c r="G178" s="3"/>
      <c r="H178" s="3"/>
      <c r="I178" s="3"/>
      <c r="J178" s="3"/>
    </row>
    <row r="179" spans="2:10" x14ac:dyDescent="0.35">
      <c r="B179" s="2"/>
      <c r="E179" s="3"/>
      <c r="F179" s="3"/>
      <c r="G179" s="3"/>
      <c r="H179" s="3"/>
      <c r="I179" s="3"/>
      <c r="J179" s="3"/>
    </row>
    <row r="180" spans="2:10" x14ac:dyDescent="0.35">
      <c r="B180" s="2"/>
      <c r="E180" s="3"/>
      <c r="F180" s="3"/>
      <c r="G180" s="3"/>
      <c r="H180" s="3"/>
      <c r="I180" s="3"/>
      <c r="J180" s="3"/>
    </row>
    <row r="181" spans="2:10" x14ac:dyDescent="0.35">
      <c r="B181" s="2"/>
    </row>
    <row r="182" spans="2:10" x14ac:dyDescent="0.35">
      <c r="B182" s="2"/>
    </row>
    <row r="183" spans="2:10" x14ac:dyDescent="0.35">
      <c r="B183" s="2"/>
    </row>
    <row r="184" spans="2:10" x14ac:dyDescent="0.35">
      <c r="B184" s="2"/>
    </row>
    <row r="185" spans="2:10" x14ac:dyDescent="0.35">
      <c r="B185" s="2"/>
    </row>
    <row r="186" spans="2:10" x14ac:dyDescent="0.35">
      <c r="B186" s="2"/>
    </row>
    <row r="187" spans="2:10" x14ac:dyDescent="0.35">
      <c r="B187" s="2"/>
    </row>
    <row r="188" spans="2:10" x14ac:dyDescent="0.35">
      <c r="B188" s="2"/>
    </row>
    <row r="189" spans="2:10" x14ac:dyDescent="0.35">
      <c r="B189" s="2"/>
    </row>
    <row r="190" spans="2:10" x14ac:dyDescent="0.35">
      <c r="B190" s="2"/>
    </row>
    <row r="191" spans="2:10" x14ac:dyDescent="0.35">
      <c r="B191" s="2"/>
    </row>
    <row r="192" spans="2:10" x14ac:dyDescent="0.35">
      <c r="B192" s="2"/>
    </row>
    <row r="193" spans="2:2" x14ac:dyDescent="0.35">
      <c r="B193" s="2"/>
    </row>
    <row r="194" spans="2:2" x14ac:dyDescent="0.35">
      <c r="B194" s="2"/>
    </row>
    <row r="195" spans="2:2" x14ac:dyDescent="0.35">
      <c r="B195" s="2"/>
    </row>
    <row r="196" spans="2:2" x14ac:dyDescent="0.35">
      <c r="B196" s="2"/>
    </row>
    <row r="197" spans="2:2" x14ac:dyDescent="0.35">
      <c r="B197" s="2"/>
    </row>
    <row r="198" spans="2:2" x14ac:dyDescent="0.35">
      <c r="B198" s="2"/>
    </row>
    <row r="199" spans="2:2" x14ac:dyDescent="0.35">
      <c r="B199" s="2"/>
    </row>
    <row r="200" spans="2:2" x14ac:dyDescent="0.35">
      <c r="B200" s="2"/>
    </row>
    <row r="201" spans="2:2" x14ac:dyDescent="0.35">
      <c r="B201" s="2"/>
    </row>
    <row r="202" spans="2:2" x14ac:dyDescent="0.35">
      <c r="B202" s="2"/>
    </row>
    <row r="203" spans="2:2" x14ac:dyDescent="0.35">
      <c r="B203" s="2"/>
    </row>
    <row r="204" spans="2:2" x14ac:dyDescent="0.35">
      <c r="B204" s="2"/>
    </row>
    <row r="205" spans="2:2" x14ac:dyDescent="0.35">
      <c r="B205" s="2"/>
    </row>
    <row r="206" spans="2:2" x14ac:dyDescent="0.35">
      <c r="B206" s="2"/>
    </row>
    <row r="207" spans="2:2" x14ac:dyDescent="0.35">
      <c r="B207" s="2"/>
    </row>
    <row r="208" spans="2:2" x14ac:dyDescent="0.35">
      <c r="B208" s="2"/>
    </row>
    <row r="209" spans="2:2" x14ac:dyDescent="0.35">
      <c r="B209" s="2"/>
    </row>
    <row r="210" spans="2:2" x14ac:dyDescent="0.35">
      <c r="B210" s="2"/>
    </row>
    <row r="211" spans="2:2" x14ac:dyDescent="0.35">
      <c r="B211" s="2"/>
    </row>
    <row r="212" spans="2:2" x14ac:dyDescent="0.35">
      <c r="B212" s="2"/>
    </row>
    <row r="213" spans="2:2" x14ac:dyDescent="0.35">
      <c r="B213" s="2"/>
    </row>
    <row r="214" spans="2:2" x14ac:dyDescent="0.35">
      <c r="B214" s="2"/>
    </row>
    <row r="215" spans="2:2" x14ac:dyDescent="0.35">
      <c r="B215" s="2"/>
    </row>
    <row r="216" spans="2:2" x14ac:dyDescent="0.35">
      <c r="B216" s="2"/>
    </row>
    <row r="217" spans="2:2" x14ac:dyDescent="0.35">
      <c r="B217" s="2"/>
    </row>
    <row r="218" spans="2:2" x14ac:dyDescent="0.35">
      <c r="B218" s="2"/>
    </row>
    <row r="219" spans="2:2" x14ac:dyDescent="0.35">
      <c r="B219" s="2"/>
    </row>
    <row r="220" spans="2:2" x14ac:dyDescent="0.35">
      <c r="B220" s="2"/>
    </row>
    <row r="221" spans="2:2" x14ac:dyDescent="0.35">
      <c r="B221" s="2"/>
    </row>
    <row r="222" spans="2:2" x14ac:dyDescent="0.35">
      <c r="B222" s="2"/>
    </row>
    <row r="223" spans="2:2" x14ac:dyDescent="0.35">
      <c r="B223" s="2"/>
    </row>
    <row r="224" spans="2:2" x14ac:dyDescent="0.35">
      <c r="B224" s="2"/>
    </row>
    <row r="225" spans="2:2" x14ac:dyDescent="0.35">
      <c r="B225" s="2"/>
    </row>
    <row r="226" spans="2:2" x14ac:dyDescent="0.35">
      <c r="B226" s="2"/>
    </row>
    <row r="227" spans="2:2" x14ac:dyDescent="0.35">
      <c r="B227" s="2"/>
    </row>
    <row r="228" spans="2:2" x14ac:dyDescent="0.35">
      <c r="B228" s="2"/>
    </row>
    <row r="229" spans="2:2" x14ac:dyDescent="0.35">
      <c r="B229" s="2"/>
    </row>
    <row r="230" spans="2:2" x14ac:dyDescent="0.35">
      <c r="B230" s="2"/>
    </row>
    <row r="231" spans="2:2" x14ac:dyDescent="0.35">
      <c r="B231" s="2"/>
    </row>
    <row r="232" spans="2:2" x14ac:dyDescent="0.35">
      <c r="B232" s="2"/>
    </row>
    <row r="233" spans="2:2" x14ac:dyDescent="0.35">
      <c r="B233" s="2"/>
    </row>
    <row r="234" spans="2:2" x14ac:dyDescent="0.35">
      <c r="B234" s="2"/>
    </row>
    <row r="235" spans="2:2" x14ac:dyDescent="0.35">
      <c r="B235" s="2"/>
    </row>
    <row r="236" spans="2:2" x14ac:dyDescent="0.35">
      <c r="B236" s="2"/>
    </row>
    <row r="237" spans="2:2" x14ac:dyDescent="0.35">
      <c r="B237" s="2"/>
    </row>
    <row r="238" spans="2:2" x14ac:dyDescent="0.35">
      <c r="B238" s="2"/>
    </row>
    <row r="239" spans="2:2" x14ac:dyDescent="0.35">
      <c r="B239" s="2"/>
    </row>
    <row r="240" spans="2:2" x14ac:dyDescent="0.35">
      <c r="B240" s="2"/>
    </row>
    <row r="241" spans="2:2" x14ac:dyDescent="0.35">
      <c r="B241" s="2"/>
    </row>
    <row r="242" spans="2:2" x14ac:dyDescent="0.35">
      <c r="B242" s="2"/>
    </row>
    <row r="243" spans="2:2" x14ac:dyDescent="0.35">
      <c r="B243" s="2"/>
    </row>
    <row r="244" spans="2:2" x14ac:dyDescent="0.35">
      <c r="B244" s="2"/>
    </row>
    <row r="245" spans="2:2" x14ac:dyDescent="0.35">
      <c r="B245" s="2"/>
    </row>
    <row r="246" spans="2:2" x14ac:dyDescent="0.35">
      <c r="B246" s="2"/>
    </row>
    <row r="247" spans="2:2" x14ac:dyDescent="0.35">
      <c r="B247" s="2"/>
    </row>
    <row r="248" spans="2:2" x14ac:dyDescent="0.35">
      <c r="B248" s="2"/>
    </row>
    <row r="249" spans="2:2" x14ac:dyDescent="0.35">
      <c r="B249" s="2"/>
    </row>
    <row r="250" spans="2:2" x14ac:dyDescent="0.35">
      <c r="B250" s="2"/>
    </row>
    <row r="251" spans="2:2" x14ac:dyDescent="0.35">
      <c r="B251" s="2"/>
    </row>
    <row r="252" spans="2:2" x14ac:dyDescent="0.35">
      <c r="B252" s="2"/>
    </row>
    <row r="253" spans="2:2" x14ac:dyDescent="0.35">
      <c r="B253" s="2"/>
    </row>
    <row r="254" spans="2:2" x14ac:dyDescent="0.35">
      <c r="B254" s="2"/>
    </row>
    <row r="255" spans="2:2" x14ac:dyDescent="0.35">
      <c r="B255" s="2"/>
    </row>
    <row r="256" spans="2:2" x14ac:dyDescent="0.35">
      <c r="B256" s="2"/>
    </row>
    <row r="257" spans="2:2" x14ac:dyDescent="0.35">
      <c r="B257" s="2"/>
    </row>
    <row r="258" spans="2:2" x14ac:dyDescent="0.35">
      <c r="B258" s="2"/>
    </row>
    <row r="259" spans="2:2" x14ac:dyDescent="0.35">
      <c r="B259" s="2"/>
    </row>
    <row r="260" spans="2:2" x14ac:dyDescent="0.35">
      <c r="B260" s="2"/>
    </row>
    <row r="261" spans="2:2" x14ac:dyDescent="0.35">
      <c r="B261" s="2"/>
    </row>
    <row r="262" spans="2:2" x14ac:dyDescent="0.35">
      <c r="B262" s="2"/>
    </row>
    <row r="263" spans="2:2" x14ac:dyDescent="0.35">
      <c r="B263" s="2"/>
    </row>
    <row r="264" spans="2:2" x14ac:dyDescent="0.35">
      <c r="B264" s="2"/>
    </row>
    <row r="265" spans="2:2" x14ac:dyDescent="0.35">
      <c r="B265" s="2"/>
    </row>
    <row r="266" spans="2:2" x14ac:dyDescent="0.35">
      <c r="B266" s="2"/>
    </row>
    <row r="267" spans="2:2" x14ac:dyDescent="0.35">
      <c r="B267" s="2"/>
    </row>
    <row r="268" spans="2:2" x14ac:dyDescent="0.35">
      <c r="B268" s="2"/>
    </row>
    <row r="269" spans="2:2" x14ac:dyDescent="0.35">
      <c r="B269" s="2"/>
    </row>
    <row r="270" spans="2:2" x14ac:dyDescent="0.35">
      <c r="B270" s="2"/>
    </row>
    <row r="271" spans="2:2" x14ac:dyDescent="0.35">
      <c r="B271" s="2"/>
    </row>
    <row r="272" spans="2:2" x14ac:dyDescent="0.35">
      <c r="B272" s="2"/>
    </row>
    <row r="273" spans="2:2" x14ac:dyDescent="0.35">
      <c r="B273" s="2"/>
    </row>
    <row r="274" spans="2:2" x14ac:dyDescent="0.35">
      <c r="B274" s="2"/>
    </row>
    <row r="275" spans="2:2" x14ac:dyDescent="0.35">
      <c r="B275" s="2"/>
    </row>
    <row r="276" spans="2:2" x14ac:dyDescent="0.35">
      <c r="B276" s="2"/>
    </row>
    <row r="277" spans="2:2" x14ac:dyDescent="0.35">
      <c r="B277" s="2"/>
    </row>
    <row r="278" spans="2:2" x14ac:dyDescent="0.35">
      <c r="B278" s="2"/>
    </row>
    <row r="279" spans="2:2" x14ac:dyDescent="0.35">
      <c r="B279" s="2"/>
    </row>
    <row r="280" spans="2:2" x14ac:dyDescent="0.35">
      <c r="B280" s="2"/>
    </row>
    <row r="281" spans="2:2" x14ac:dyDescent="0.35">
      <c r="B281" s="2"/>
    </row>
    <row r="282" spans="2:2" x14ac:dyDescent="0.35">
      <c r="B282" s="2"/>
    </row>
    <row r="283" spans="2:2" x14ac:dyDescent="0.35">
      <c r="B283" s="2"/>
    </row>
    <row r="284" spans="2:2" x14ac:dyDescent="0.35">
      <c r="B284" s="2"/>
    </row>
    <row r="285" spans="2:2" x14ac:dyDescent="0.35">
      <c r="B285" s="2"/>
    </row>
    <row r="286" spans="2:2" x14ac:dyDescent="0.35">
      <c r="B286" s="2"/>
    </row>
    <row r="287" spans="2:2" x14ac:dyDescent="0.35">
      <c r="B287" s="2"/>
    </row>
    <row r="288" spans="2:2" x14ac:dyDescent="0.35">
      <c r="B288" s="2"/>
    </row>
    <row r="289" spans="2:2" x14ac:dyDescent="0.35">
      <c r="B289" s="2"/>
    </row>
    <row r="290" spans="2:2" x14ac:dyDescent="0.35">
      <c r="B290" s="2"/>
    </row>
    <row r="291" spans="2:2" x14ac:dyDescent="0.35">
      <c r="B291" s="2"/>
    </row>
    <row r="292" spans="2:2" x14ac:dyDescent="0.35">
      <c r="B292" s="2"/>
    </row>
    <row r="293" spans="2:2" x14ac:dyDescent="0.35">
      <c r="B293" s="2"/>
    </row>
    <row r="294" spans="2:2" x14ac:dyDescent="0.35">
      <c r="B294" s="2"/>
    </row>
    <row r="295" spans="2:2" x14ac:dyDescent="0.35">
      <c r="B295" s="2"/>
    </row>
    <row r="296" spans="2:2" x14ac:dyDescent="0.35">
      <c r="B296" s="2"/>
    </row>
    <row r="297" spans="2:2" x14ac:dyDescent="0.35">
      <c r="B297" s="2"/>
    </row>
    <row r="298" spans="2:2" x14ac:dyDescent="0.35">
      <c r="B298" s="2"/>
    </row>
    <row r="299" spans="2:2" x14ac:dyDescent="0.35">
      <c r="B299" s="2"/>
    </row>
    <row r="300" spans="2:2" x14ac:dyDescent="0.35">
      <c r="B300" s="2"/>
    </row>
    <row r="301" spans="2:2" x14ac:dyDescent="0.35">
      <c r="B301" s="2"/>
    </row>
    <row r="302" spans="2:2" x14ac:dyDescent="0.35">
      <c r="B302" s="2"/>
    </row>
    <row r="303" spans="2:2" x14ac:dyDescent="0.35">
      <c r="B303" s="2"/>
    </row>
    <row r="304" spans="2:2" x14ac:dyDescent="0.35">
      <c r="B304" s="2"/>
    </row>
    <row r="305" spans="2:2" x14ac:dyDescent="0.35">
      <c r="B305" s="2"/>
    </row>
    <row r="306" spans="2:2" x14ac:dyDescent="0.35">
      <c r="B306" s="2"/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75817-7A94-4237-AE18-06A25CAA414B}">
  <dimension ref="A1:A18"/>
  <sheetViews>
    <sheetView workbookViewId="0">
      <selection activeCell="D19" sqref="D19"/>
    </sheetView>
  </sheetViews>
  <sheetFormatPr defaultRowHeight="14.5" x14ac:dyDescent="0.35"/>
  <sheetData>
    <row r="1" spans="1:1" x14ac:dyDescent="0.35">
      <c r="A1" t="s">
        <v>12</v>
      </c>
    </row>
    <row r="3" spans="1:1" x14ac:dyDescent="0.35">
      <c r="A3" t="s">
        <v>13</v>
      </c>
    </row>
    <row r="4" spans="1:1" x14ac:dyDescent="0.35">
      <c r="A4" t="s">
        <v>14</v>
      </c>
    </row>
    <row r="5" spans="1:1" x14ac:dyDescent="0.35">
      <c r="A5" t="s">
        <v>15</v>
      </c>
    </row>
    <row r="6" spans="1:1" x14ac:dyDescent="0.35">
      <c r="A6" t="s">
        <v>16</v>
      </c>
    </row>
    <row r="7" spans="1:1" x14ac:dyDescent="0.35">
      <c r="A7" t="s">
        <v>17</v>
      </c>
    </row>
    <row r="8" spans="1:1" x14ac:dyDescent="0.35">
      <c r="A8" t="s">
        <v>18</v>
      </c>
    </row>
    <row r="9" spans="1:1" x14ac:dyDescent="0.35">
      <c r="A9" t="s">
        <v>19</v>
      </c>
    </row>
    <row r="10" spans="1:1" x14ac:dyDescent="0.35">
      <c r="A10" t="s">
        <v>20</v>
      </c>
    </row>
    <row r="12" spans="1:1" x14ac:dyDescent="0.35">
      <c r="A12" t="s">
        <v>21</v>
      </c>
    </row>
    <row r="13" spans="1:1" x14ac:dyDescent="0.35">
      <c r="A13" t="s">
        <v>22</v>
      </c>
    </row>
    <row r="14" spans="1:1" x14ac:dyDescent="0.35">
      <c r="A14" t="s">
        <v>23</v>
      </c>
    </row>
    <row r="15" spans="1:1" x14ac:dyDescent="0.35">
      <c r="A15" t="s">
        <v>24</v>
      </c>
    </row>
    <row r="16" spans="1:1" x14ac:dyDescent="0.35">
      <c r="A16" t="s">
        <v>25</v>
      </c>
    </row>
    <row r="18" spans="1:1" x14ac:dyDescent="0.35">
      <c r="A18" t="s">
        <v>26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271CE-FAC9-45C5-B464-75745A3C78D5}">
  <dimension ref="A1:A18"/>
  <sheetViews>
    <sheetView workbookViewId="0">
      <selection activeCell="F31" sqref="F31"/>
    </sheetView>
  </sheetViews>
  <sheetFormatPr defaultRowHeight="14.5" x14ac:dyDescent="0.35"/>
  <sheetData>
    <row r="1" spans="1:1" x14ac:dyDescent="0.35">
      <c r="A1" t="s">
        <v>27</v>
      </c>
    </row>
    <row r="3" spans="1:1" x14ac:dyDescent="0.35">
      <c r="A3" t="s">
        <v>13</v>
      </c>
    </row>
    <row r="4" spans="1:1" x14ac:dyDescent="0.35">
      <c r="A4" t="s">
        <v>14</v>
      </c>
    </row>
    <row r="5" spans="1:1" x14ac:dyDescent="0.35">
      <c r="A5" t="s">
        <v>15</v>
      </c>
    </row>
    <row r="6" spans="1:1" x14ac:dyDescent="0.35">
      <c r="A6" t="s">
        <v>16</v>
      </c>
    </row>
    <row r="7" spans="1:1" x14ac:dyDescent="0.35">
      <c r="A7" t="s">
        <v>17</v>
      </c>
    </row>
    <row r="8" spans="1:1" x14ac:dyDescent="0.35">
      <c r="A8" t="s">
        <v>28</v>
      </c>
    </row>
    <row r="9" spans="1:1" x14ac:dyDescent="0.35">
      <c r="A9" t="s">
        <v>29</v>
      </c>
    </row>
    <row r="10" spans="1:1" x14ac:dyDescent="0.35">
      <c r="A10" t="s">
        <v>30</v>
      </c>
    </row>
    <row r="12" spans="1:1" x14ac:dyDescent="0.35">
      <c r="A12" t="s">
        <v>21</v>
      </c>
    </row>
    <row r="13" spans="1:1" x14ac:dyDescent="0.35">
      <c r="A13" t="s">
        <v>22</v>
      </c>
    </row>
    <row r="14" spans="1:1" x14ac:dyDescent="0.35">
      <c r="A14" t="s">
        <v>31</v>
      </c>
    </row>
    <row r="15" spans="1:1" x14ac:dyDescent="0.35">
      <c r="A15" t="s">
        <v>32</v>
      </c>
    </row>
    <row r="16" spans="1:1" x14ac:dyDescent="0.35">
      <c r="A16" t="s">
        <v>33</v>
      </c>
    </row>
    <row r="18" spans="1:1" x14ac:dyDescent="0.35">
      <c r="A18" t="s">
        <v>26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7981D-DE7E-4D25-BFCE-28A85F55D6D6}">
  <dimension ref="A1:A18"/>
  <sheetViews>
    <sheetView workbookViewId="0">
      <selection activeCell="H29" sqref="H29"/>
    </sheetView>
  </sheetViews>
  <sheetFormatPr defaultRowHeight="14.5" x14ac:dyDescent="0.35"/>
  <sheetData>
    <row r="1" spans="1:1" x14ac:dyDescent="0.35">
      <c r="A1" t="s">
        <v>34</v>
      </c>
    </row>
    <row r="3" spans="1:1" x14ac:dyDescent="0.35">
      <c r="A3" t="s">
        <v>13</v>
      </c>
    </row>
    <row r="4" spans="1:1" x14ac:dyDescent="0.35">
      <c r="A4" t="s">
        <v>14</v>
      </c>
    </row>
    <row r="5" spans="1:1" x14ac:dyDescent="0.35">
      <c r="A5" t="s">
        <v>15</v>
      </c>
    </row>
    <row r="6" spans="1:1" x14ac:dyDescent="0.35">
      <c r="A6" t="s">
        <v>16</v>
      </c>
    </row>
    <row r="7" spans="1:1" x14ac:dyDescent="0.35">
      <c r="A7" t="s">
        <v>17</v>
      </c>
    </row>
    <row r="8" spans="1:1" x14ac:dyDescent="0.35">
      <c r="A8" t="s">
        <v>35</v>
      </c>
    </row>
    <row r="9" spans="1:1" x14ac:dyDescent="0.35">
      <c r="A9" t="s">
        <v>36</v>
      </c>
    </row>
    <row r="10" spans="1:1" x14ac:dyDescent="0.35">
      <c r="A10" t="s">
        <v>37</v>
      </c>
    </row>
    <row r="12" spans="1:1" x14ac:dyDescent="0.35">
      <c r="A12" t="s">
        <v>21</v>
      </c>
    </row>
    <row r="13" spans="1:1" x14ac:dyDescent="0.35">
      <c r="A13" t="s">
        <v>22</v>
      </c>
    </row>
    <row r="14" spans="1:1" x14ac:dyDescent="0.35">
      <c r="A14" t="s">
        <v>38</v>
      </c>
    </row>
    <row r="15" spans="1:1" x14ac:dyDescent="0.35">
      <c r="A15" t="s">
        <v>39</v>
      </c>
    </row>
    <row r="16" spans="1:1" x14ac:dyDescent="0.35">
      <c r="A16" t="s">
        <v>40</v>
      </c>
    </row>
    <row r="18" spans="1:1" x14ac:dyDescent="0.35">
      <c r="A18" t="s">
        <v>26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4A161-F30F-4633-BF08-620E9D65DAC0}">
  <dimension ref="A1:A18"/>
  <sheetViews>
    <sheetView workbookViewId="0">
      <selection activeCell="I32" sqref="I32"/>
    </sheetView>
  </sheetViews>
  <sheetFormatPr defaultRowHeight="14.5" x14ac:dyDescent="0.35"/>
  <sheetData>
    <row r="1" spans="1:1" x14ac:dyDescent="0.35">
      <c r="A1" t="s">
        <v>41</v>
      </c>
    </row>
    <row r="3" spans="1:1" x14ac:dyDescent="0.35">
      <c r="A3" t="s">
        <v>13</v>
      </c>
    </row>
    <row r="4" spans="1:1" x14ac:dyDescent="0.35">
      <c r="A4" t="s">
        <v>14</v>
      </c>
    </row>
    <row r="5" spans="1:1" x14ac:dyDescent="0.35">
      <c r="A5" t="s">
        <v>15</v>
      </c>
    </row>
    <row r="6" spans="1:1" x14ac:dyDescent="0.35">
      <c r="A6" t="s">
        <v>16</v>
      </c>
    </row>
    <row r="7" spans="1:1" x14ac:dyDescent="0.35">
      <c r="A7" t="s">
        <v>17</v>
      </c>
    </row>
    <row r="8" spans="1:1" x14ac:dyDescent="0.35">
      <c r="A8" t="s">
        <v>42</v>
      </c>
    </row>
    <row r="9" spans="1:1" x14ac:dyDescent="0.35">
      <c r="A9" t="s">
        <v>43</v>
      </c>
    </row>
    <row r="10" spans="1:1" x14ac:dyDescent="0.35">
      <c r="A10" t="s">
        <v>44</v>
      </c>
    </row>
    <row r="12" spans="1:1" x14ac:dyDescent="0.35">
      <c r="A12" t="s">
        <v>21</v>
      </c>
    </row>
    <row r="13" spans="1:1" x14ac:dyDescent="0.35">
      <c r="A13" t="s">
        <v>22</v>
      </c>
    </row>
    <row r="14" spans="1:1" x14ac:dyDescent="0.35">
      <c r="A14" t="s">
        <v>45</v>
      </c>
    </row>
    <row r="15" spans="1:1" x14ac:dyDescent="0.35">
      <c r="A15" t="s">
        <v>46</v>
      </c>
    </row>
    <row r="16" spans="1:1" x14ac:dyDescent="0.35">
      <c r="A16" t="s">
        <v>47</v>
      </c>
    </row>
    <row r="18" spans="1:1" x14ac:dyDescent="0.35">
      <c r="A18" t="s">
        <v>26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D5872-63F7-46E6-9A16-1F582581BF7C}">
  <dimension ref="A1:A18"/>
  <sheetViews>
    <sheetView workbookViewId="0">
      <selection activeCell="I31" sqref="I31"/>
    </sheetView>
  </sheetViews>
  <sheetFormatPr defaultRowHeight="14.5" x14ac:dyDescent="0.35"/>
  <sheetData>
    <row r="1" spans="1:1" x14ac:dyDescent="0.35">
      <c r="A1" t="s">
        <v>48</v>
      </c>
    </row>
    <row r="3" spans="1:1" x14ac:dyDescent="0.35">
      <c r="A3" t="s">
        <v>13</v>
      </c>
    </row>
    <row r="4" spans="1:1" x14ac:dyDescent="0.35">
      <c r="A4" t="s">
        <v>14</v>
      </c>
    </row>
    <row r="5" spans="1:1" x14ac:dyDescent="0.35">
      <c r="A5" t="s">
        <v>15</v>
      </c>
    </row>
    <row r="6" spans="1:1" x14ac:dyDescent="0.35">
      <c r="A6" t="s">
        <v>16</v>
      </c>
    </row>
    <row r="7" spans="1:1" x14ac:dyDescent="0.35">
      <c r="A7" t="s">
        <v>17</v>
      </c>
    </row>
    <row r="8" spans="1:1" x14ac:dyDescent="0.35">
      <c r="A8" t="s">
        <v>49</v>
      </c>
    </row>
    <row r="9" spans="1:1" x14ac:dyDescent="0.35">
      <c r="A9" t="s">
        <v>50</v>
      </c>
    </row>
    <row r="10" spans="1:1" x14ac:dyDescent="0.35">
      <c r="A10" t="s">
        <v>51</v>
      </c>
    </row>
    <row r="12" spans="1:1" x14ac:dyDescent="0.35">
      <c r="A12" t="s">
        <v>21</v>
      </c>
    </row>
    <row r="13" spans="1:1" x14ac:dyDescent="0.35">
      <c r="A13" t="s">
        <v>22</v>
      </c>
    </row>
    <row r="14" spans="1:1" x14ac:dyDescent="0.35">
      <c r="A14" t="s">
        <v>52</v>
      </c>
    </row>
    <row r="15" spans="1:1" x14ac:dyDescent="0.35">
      <c r="A15" t="s">
        <v>53</v>
      </c>
    </row>
    <row r="16" spans="1:1" x14ac:dyDescent="0.35">
      <c r="A16" t="s">
        <v>54</v>
      </c>
    </row>
    <row r="18" spans="1:1" x14ac:dyDescent="0.35">
      <c r="A18" t="s">
        <v>26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F50CE-49F7-4274-8F91-E9D016779A8D}">
  <dimension ref="A1:A18"/>
  <sheetViews>
    <sheetView workbookViewId="0">
      <selection activeCell="H25" sqref="H25"/>
    </sheetView>
  </sheetViews>
  <sheetFormatPr defaultRowHeight="14.5" x14ac:dyDescent="0.35"/>
  <sheetData>
    <row r="1" spans="1:1" x14ac:dyDescent="0.35">
      <c r="A1" t="s">
        <v>55</v>
      </c>
    </row>
    <row r="3" spans="1:1" x14ac:dyDescent="0.35">
      <c r="A3" t="s">
        <v>13</v>
      </c>
    </row>
    <row r="4" spans="1:1" x14ac:dyDescent="0.35">
      <c r="A4" t="s">
        <v>14</v>
      </c>
    </row>
    <row r="5" spans="1:1" x14ac:dyDescent="0.35">
      <c r="A5" t="s">
        <v>15</v>
      </c>
    </row>
    <row r="6" spans="1:1" x14ac:dyDescent="0.35">
      <c r="A6" t="s">
        <v>16</v>
      </c>
    </row>
    <row r="7" spans="1:1" x14ac:dyDescent="0.35">
      <c r="A7" t="s">
        <v>17</v>
      </c>
    </row>
    <row r="8" spans="1:1" x14ac:dyDescent="0.35">
      <c r="A8" t="s">
        <v>56</v>
      </c>
    </row>
    <row r="9" spans="1:1" x14ac:dyDescent="0.35">
      <c r="A9" t="s">
        <v>57</v>
      </c>
    </row>
    <row r="10" spans="1:1" x14ac:dyDescent="0.35">
      <c r="A10" t="s">
        <v>58</v>
      </c>
    </row>
    <row r="12" spans="1:1" x14ac:dyDescent="0.35">
      <c r="A12" t="s">
        <v>21</v>
      </c>
    </row>
    <row r="13" spans="1:1" x14ac:dyDescent="0.35">
      <c r="A13" t="s">
        <v>22</v>
      </c>
    </row>
    <row r="14" spans="1:1" x14ac:dyDescent="0.35">
      <c r="A14" t="s">
        <v>59</v>
      </c>
    </row>
    <row r="15" spans="1:1" x14ac:dyDescent="0.35">
      <c r="A15" t="s">
        <v>60</v>
      </c>
    </row>
    <row r="16" spans="1:1" x14ac:dyDescent="0.35">
      <c r="A16" t="s">
        <v>61</v>
      </c>
    </row>
    <row r="18" spans="1:1" x14ac:dyDescent="0.35">
      <c r="A18" t="s">
        <v>26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4BDB5-9BB3-4C23-8CEC-2F38F3A6FA8A}">
  <dimension ref="A1:I18"/>
  <sheetViews>
    <sheetView workbookViewId="0">
      <selection activeCell="I24" sqref="I24"/>
    </sheetView>
  </sheetViews>
  <sheetFormatPr defaultRowHeight="14.5" x14ac:dyDescent="0.35"/>
  <sheetData>
    <row r="1" spans="1:9" x14ac:dyDescent="0.35">
      <c r="A1" s="10" t="s">
        <v>118</v>
      </c>
      <c r="B1" s="11"/>
      <c r="C1" s="11"/>
      <c r="D1" s="11"/>
      <c r="E1" s="11"/>
      <c r="F1" s="11"/>
      <c r="G1" s="11"/>
      <c r="H1" s="11"/>
      <c r="I1" s="11"/>
    </row>
    <row r="2" spans="1:9" x14ac:dyDescent="0.35">
      <c r="A2" s="11"/>
      <c r="B2" s="11"/>
      <c r="C2" s="11"/>
      <c r="D2" s="11"/>
      <c r="E2" s="11"/>
      <c r="F2" s="11"/>
      <c r="G2" s="11"/>
      <c r="H2" s="11"/>
      <c r="I2" s="11"/>
    </row>
    <row r="3" spans="1:9" x14ac:dyDescent="0.35">
      <c r="A3" s="11"/>
      <c r="B3" s="11"/>
      <c r="C3" s="11"/>
      <c r="D3" s="11"/>
      <c r="E3" s="11"/>
      <c r="F3" s="11"/>
      <c r="G3" s="11"/>
      <c r="H3" s="11"/>
      <c r="I3" s="11"/>
    </row>
    <row r="4" spans="1:9" x14ac:dyDescent="0.35">
      <c r="A4" s="11"/>
      <c r="B4" s="11"/>
      <c r="C4" s="11"/>
      <c r="D4" s="11"/>
      <c r="E4" s="11"/>
      <c r="F4" s="11"/>
      <c r="G4" s="11"/>
      <c r="H4" s="11"/>
      <c r="I4" s="11"/>
    </row>
    <row r="5" spans="1:9" x14ac:dyDescent="0.35">
      <c r="A5" s="11"/>
      <c r="B5" s="11"/>
      <c r="C5" s="11"/>
      <c r="D5" s="11"/>
      <c r="E5" s="11"/>
      <c r="F5" s="11"/>
      <c r="G5" s="11"/>
      <c r="H5" s="11"/>
      <c r="I5" s="11"/>
    </row>
    <row r="6" spans="1:9" x14ac:dyDescent="0.35">
      <c r="A6" s="11"/>
      <c r="B6" s="11"/>
      <c r="C6" s="11"/>
      <c r="D6" s="11"/>
      <c r="E6" s="11"/>
      <c r="F6" s="11"/>
      <c r="G6" s="11"/>
      <c r="H6" s="11"/>
      <c r="I6" s="11"/>
    </row>
    <row r="7" spans="1:9" x14ac:dyDescent="0.35">
      <c r="A7" s="11"/>
      <c r="B7" s="11"/>
      <c r="C7" s="11"/>
      <c r="D7" s="11"/>
      <c r="E7" s="11"/>
      <c r="F7" s="11"/>
      <c r="G7" s="11"/>
      <c r="H7" s="11"/>
      <c r="I7" s="11"/>
    </row>
    <row r="8" spans="1:9" x14ac:dyDescent="0.35">
      <c r="A8" s="11"/>
      <c r="B8" s="11"/>
      <c r="C8" s="11"/>
      <c r="D8" s="11"/>
      <c r="E8" s="11"/>
      <c r="F8" s="11"/>
      <c r="G8" s="11"/>
      <c r="H8" s="11"/>
      <c r="I8" s="11"/>
    </row>
    <row r="9" spans="1:9" x14ac:dyDescent="0.35">
      <c r="A9" s="11"/>
      <c r="B9" s="11"/>
      <c r="C9" s="11"/>
      <c r="D9" s="11"/>
      <c r="E9" s="11"/>
      <c r="F9" s="11"/>
      <c r="G9" s="11"/>
      <c r="H9" s="11"/>
      <c r="I9" s="11"/>
    </row>
    <row r="10" spans="1:9" x14ac:dyDescent="0.35">
      <c r="A10" s="11"/>
      <c r="B10" s="11"/>
      <c r="C10" s="11"/>
      <c r="D10" s="11"/>
      <c r="E10" s="11"/>
      <c r="F10" s="11"/>
      <c r="G10" s="11"/>
      <c r="H10" s="11"/>
      <c r="I10" s="11"/>
    </row>
    <row r="11" spans="1:9" x14ac:dyDescent="0.35">
      <c r="A11" s="11"/>
      <c r="B11" s="11"/>
      <c r="C11" s="11"/>
      <c r="D11" s="11"/>
      <c r="E11" s="11"/>
      <c r="F11" s="11"/>
      <c r="G11" s="11"/>
      <c r="H11" s="11"/>
      <c r="I11" s="11"/>
    </row>
    <row r="12" spans="1:9" x14ac:dyDescent="0.35">
      <c r="A12" s="11"/>
      <c r="B12" s="11"/>
      <c r="C12" s="11"/>
      <c r="D12" s="11"/>
      <c r="E12" s="11"/>
      <c r="F12" s="11"/>
      <c r="G12" s="11"/>
      <c r="H12" s="11"/>
      <c r="I12" s="11"/>
    </row>
    <row r="13" spans="1:9" x14ac:dyDescent="0.35">
      <c r="A13" s="11"/>
      <c r="B13" s="11"/>
      <c r="C13" s="11"/>
      <c r="D13" s="11"/>
      <c r="E13" s="11"/>
      <c r="F13" s="11"/>
      <c r="G13" s="11"/>
      <c r="H13" s="11"/>
      <c r="I13" s="11"/>
    </row>
    <row r="14" spans="1:9" x14ac:dyDescent="0.35">
      <c r="A14" s="11"/>
      <c r="B14" s="11"/>
      <c r="C14" s="11"/>
      <c r="D14" s="11"/>
      <c r="E14" s="11"/>
      <c r="F14" s="11"/>
      <c r="G14" s="11"/>
      <c r="H14" s="11"/>
      <c r="I14" s="11"/>
    </row>
    <row r="15" spans="1:9" x14ac:dyDescent="0.35">
      <c r="A15" s="11"/>
      <c r="B15" s="11"/>
      <c r="C15" s="11"/>
      <c r="D15" s="11"/>
      <c r="E15" s="11"/>
      <c r="F15" s="11"/>
      <c r="G15" s="11"/>
      <c r="H15" s="11"/>
      <c r="I15" s="11"/>
    </row>
    <row r="16" spans="1:9" x14ac:dyDescent="0.35">
      <c r="A16" s="11"/>
      <c r="B16" s="11"/>
      <c r="C16" s="11"/>
      <c r="D16" s="11"/>
      <c r="E16" s="11"/>
      <c r="F16" s="11"/>
      <c r="G16" s="11"/>
      <c r="H16" s="11"/>
      <c r="I16" s="11"/>
    </row>
    <row r="17" spans="1:9" x14ac:dyDescent="0.35">
      <c r="A17" s="11"/>
      <c r="B17" s="11"/>
      <c r="C17" s="11"/>
      <c r="D17" s="11"/>
      <c r="E17" s="11"/>
      <c r="F17" s="11"/>
      <c r="G17" s="11"/>
      <c r="H17" s="11"/>
      <c r="I17" s="11"/>
    </row>
    <row r="18" spans="1:9" x14ac:dyDescent="0.35">
      <c r="A18" s="11"/>
      <c r="B18" s="11"/>
      <c r="C18" s="11"/>
      <c r="D18" s="11"/>
      <c r="E18" s="11"/>
      <c r="F18" s="11"/>
      <c r="G18" s="11"/>
      <c r="H18" s="11"/>
      <c r="I18" s="11"/>
    </row>
  </sheetData>
  <mergeCells count="1">
    <mergeCell ref="A1:I18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D6D82-26D0-47D5-8A56-BD695E805FD5}">
  <dimension ref="A1:A18"/>
  <sheetViews>
    <sheetView workbookViewId="0">
      <selection activeCell="H27" sqref="H27"/>
    </sheetView>
  </sheetViews>
  <sheetFormatPr defaultRowHeight="14.5" x14ac:dyDescent="0.35"/>
  <sheetData>
    <row r="1" spans="1:1" x14ac:dyDescent="0.35">
      <c r="A1" t="s">
        <v>62</v>
      </c>
    </row>
    <row r="3" spans="1:1" x14ac:dyDescent="0.35">
      <c r="A3" t="s">
        <v>63</v>
      </c>
    </row>
    <row r="4" spans="1:1" x14ac:dyDescent="0.35">
      <c r="A4" t="s">
        <v>14</v>
      </c>
    </row>
    <row r="5" spans="1:1" x14ac:dyDescent="0.35">
      <c r="A5" t="s">
        <v>15</v>
      </c>
    </row>
    <row r="6" spans="1:1" x14ac:dyDescent="0.35">
      <c r="A6" t="s">
        <v>16</v>
      </c>
    </row>
    <row r="7" spans="1:1" x14ac:dyDescent="0.35">
      <c r="A7" t="s">
        <v>17</v>
      </c>
    </row>
    <row r="8" spans="1:1" x14ac:dyDescent="0.35">
      <c r="A8" t="s">
        <v>64</v>
      </c>
    </row>
    <row r="9" spans="1:1" x14ac:dyDescent="0.35">
      <c r="A9" t="s">
        <v>65</v>
      </c>
    </row>
    <row r="10" spans="1:1" x14ac:dyDescent="0.35">
      <c r="A10" t="s">
        <v>66</v>
      </c>
    </row>
    <row r="12" spans="1:1" x14ac:dyDescent="0.35">
      <c r="A12" t="s">
        <v>21</v>
      </c>
    </row>
    <row r="13" spans="1:1" x14ac:dyDescent="0.35">
      <c r="A13" t="s">
        <v>22</v>
      </c>
    </row>
    <row r="14" spans="1:1" x14ac:dyDescent="0.35">
      <c r="A14" t="s">
        <v>67</v>
      </c>
    </row>
    <row r="15" spans="1:1" x14ac:dyDescent="0.35">
      <c r="A15" t="s">
        <v>68</v>
      </c>
    </row>
    <row r="16" spans="1:1" x14ac:dyDescent="0.35">
      <c r="A16" t="s">
        <v>69</v>
      </c>
    </row>
    <row r="18" spans="1:1" x14ac:dyDescent="0.35">
      <c r="A18" t="s">
        <v>26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C9548-E2BE-4974-9A2C-E56F2C598BA0}">
  <dimension ref="A1:I18"/>
  <sheetViews>
    <sheetView workbookViewId="0">
      <selection activeCell="G22" sqref="G22"/>
    </sheetView>
  </sheetViews>
  <sheetFormatPr defaultRowHeight="14.5" x14ac:dyDescent="0.35"/>
  <sheetData>
    <row r="1" spans="1:9" x14ac:dyDescent="0.35">
      <c r="A1" s="10" t="s">
        <v>119</v>
      </c>
      <c r="B1" s="11"/>
      <c r="C1" s="11"/>
      <c r="D1" s="11"/>
      <c r="E1" s="11"/>
      <c r="F1" s="11"/>
      <c r="G1" s="11"/>
      <c r="H1" s="11"/>
      <c r="I1" s="11"/>
    </row>
    <row r="2" spans="1:9" x14ac:dyDescent="0.35">
      <c r="A2" s="11"/>
      <c r="B2" s="11"/>
      <c r="C2" s="11"/>
      <c r="D2" s="11"/>
      <c r="E2" s="11"/>
      <c r="F2" s="11"/>
      <c r="G2" s="11"/>
      <c r="H2" s="11"/>
      <c r="I2" s="11"/>
    </row>
    <row r="3" spans="1:9" x14ac:dyDescent="0.35">
      <c r="A3" s="11"/>
      <c r="B3" s="11"/>
      <c r="C3" s="11"/>
      <c r="D3" s="11"/>
      <c r="E3" s="11"/>
      <c r="F3" s="11"/>
      <c r="G3" s="11"/>
      <c r="H3" s="11"/>
      <c r="I3" s="11"/>
    </row>
    <row r="4" spans="1:9" x14ac:dyDescent="0.35">
      <c r="A4" s="11"/>
      <c r="B4" s="11"/>
      <c r="C4" s="11"/>
      <c r="D4" s="11"/>
      <c r="E4" s="11"/>
      <c r="F4" s="11"/>
      <c r="G4" s="11"/>
      <c r="H4" s="11"/>
      <c r="I4" s="11"/>
    </row>
    <row r="5" spans="1:9" x14ac:dyDescent="0.35">
      <c r="A5" s="11"/>
      <c r="B5" s="11"/>
      <c r="C5" s="11"/>
      <c r="D5" s="11"/>
      <c r="E5" s="11"/>
      <c r="F5" s="11"/>
      <c r="G5" s="11"/>
      <c r="H5" s="11"/>
      <c r="I5" s="11"/>
    </row>
    <row r="6" spans="1:9" x14ac:dyDescent="0.35">
      <c r="A6" s="11"/>
      <c r="B6" s="11"/>
      <c r="C6" s="11"/>
      <c r="D6" s="11"/>
      <c r="E6" s="11"/>
      <c r="F6" s="11"/>
      <c r="G6" s="11"/>
      <c r="H6" s="11"/>
      <c r="I6" s="11"/>
    </row>
    <row r="7" spans="1:9" x14ac:dyDescent="0.35">
      <c r="A7" s="11"/>
      <c r="B7" s="11"/>
      <c r="C7" s="11"/>
      <c r="D7" s="11"/>
      <c r="E7" s="11"/>
      <c r="F7" s="11"/>
      <c r="G7" s="11"/>
      <c r="H7" s="11"/>
      <c r="I7" s="11"/>
    </row>
    <row r="8" spans="1:9" x14ac:dyDescent="0.35">
      <c r="A8" s="11"/>
      <c r="B8" s="11"/>
      <c r="C8" s="11"/>
      <c r="D8" s="11"/>
      <c r="E8" s="11"/>
      <c r="F8" s="11"/>
      <c r="G8" s="11"/>
      <c r="H8" s="11"/>
      <c r="I8" s="11"/>
    </row>
    <row r="9" spans="1:9" x14ac:dyDescent="0.35">
      <c r="A9" s="11"/>
      <c r="B9" s="11"/>
      <c r="C9" s="11"/>
      <c r="D9" s="11"/>
      <c r="E9" s="11"/>
      <c r="F9" s="11"/>
      <c r="G9" s="11"/>
      <c r="H9" s="11"/>
      <c r="I9" s="11"/>
    </row>
    <row r="10" spans="1:9" x14ac:dyDescent="0.35">
      <c r="A10" s="11"/>
      <c r="B10" s="11"/>
      <c r="C10" s="11"/>
      <c r="D10" s="11"/>
      <c r="E10" s="11"/>
      <c r="F10" s="11"/>
      <c r="G10" s="11"/>
      <c r="H10" s="11"/>
      <c r="I10" s="11"/>
    </row>
    <row r="11" spans="1:9" x14ac:dyDescent="0.35">
      <c r="A11" s="11"/>
      <c r="B11" s="11"/>
      <c r="C11" s="11"/>
      <c r="D11" s="11"/>
      <c r="E11" s="11"/>
      <c r="F11" s="11"/>
      <c r="G11" s="11"/>
      <c r="H11" s="11"/>
      <c r="I11" s="11"/>
    </row>
    <row r="12" spans="1:9" x14ac:dyDescent="0.35">
      <c r="A12" s="11"/>
      <c r="B12" s="11"/>
      <c r="C12" s="11"/>
      <c r="D12" s="11"/>
      <c r="E12" s="11"/>
      <c r="F12" s="11"/>
      <c r="G12" s="11"/>
      <c r="H12" s="11"/>
      <c r="I12" s="11"/>
    </row>
    <row r="13" spans="1:9" x14ac:dyDescent="0.35">
      <c r="A13" s="11"/>
      <c r="B13" s="11"/>
      <c r="C13" s="11"/>
      <c r="D13" s="11"/>
      <c r="E13" s="11"/>
      <c r="F13" s="11"/>
      <c r="G13" s="11"/>
      <c r="H13" s="11"/>
      <c r="I13" s="11"/>
    </row>
    <row r="14" spans="1:9" x14ac:dyDescent="0.35">
      <c r="A14" s="11"/>
      <c r="B14" s="11"/>
      <c r="C14" s="11"/>
      <c r="D14" s="11"/>
      <c r="E14" s="11"/>
      <c r="F14" s="11"/>
      <c r="G14" s="11"/>
      <c r="H14" s="11"/>
      <c r="I14" s="11"/>
    </row>
    <row r="15" spans="1:9" x14ac:dyDescent="0.35">
      <c r="A15" s="11"/>
      <c r="B15" s="11"/>
      <c r="C15" s="11"/>
      <c r="D15" s="11"/>
      <c r="E15" s="11"/>
      <c r="F15" s="11"/>
      <c r="G15" s="11"/>
      <c r="H15" s="11"/>
      <c r="I15" s="11"/>
    </row>
    <row r="16" spans="1:9" x14ac:dyDescent="0.35">
      <c r="A16" s="11"/>
      <c r="B16" s="11"/>
      <c r="C16" s="11"/>
      <c r="D16" s="11"/>
      <c r="E16" s="11"/>
      <c r="F16" s="11"/>
      <c r="G16" s="11"/>
      <c r="H16" s="11"/>
      <c r="I16" s="11"/>
    </row>
    <row r="17" spans="1:9" x14ac:dyDescent="0.35">
      <c r="A17" s="11"/>
      <c r="B17" s="11"/>
      <c r="C17" s="11"/>
      <c r="D17" s="11"/>
      <c r="E17" s="11"/>
      <c r="F17" s="11"/>
      <c r="G17" s="11"/>
      <c r="H17" s="11"/>
      <c r="I17" s="11"/>
    </row>
    <row r="18" spans="1:9" x14ac:dyDescent="0.35">
      <c r="A18" s="11"/>
      <c r="B18" s="11"/>
      <c r="C18" s="11"/>
      <c r="D18" s="11"/>
      <c r="E18" s="11"/>
      <c r="F18" s="11"/>
      <c r="G18" s="11"/>
      <c r="H18" s="11"/>
      <c r="I18" s="11"/>
    </row>
  </sheetData>
  <mergeCells count="1">
    <mergeCell ref="A1:I18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3FAC2-C07F-44D5-888F-F6D3084FFEBE}">
  <dimension ref="A1:A18"/>
  <sheetViews>
    <sheetView workbookViewId="0">
      <selection activeCell="H29" sqref="H29"/>
    </sheetView>
  </sheetViews>
  <sheetFormatPr defaultRowHeight="14.5" x14ac:dyDescent="0.35"/>
  <sheetData>
    <row r="1" spans="1:1" x14ac:dyDescent="0.35">
      <c r="A1" t="s">
        <v>70</v>
      </c>
    </row>
    <row r="3" spans="1:1" x14ac:dyDescent="0.35">
      <c r="A3" t="s">
        <v>13</v>
      </c>
    </row>
    <row r="4" spans="1:1" x14ac:dyDescent="0.35">
      <c r="A4" t="s">
        <v>14</v>
      </c>
    </row>
    <row r="5" spans="1:1" x14ac:dyDescent="0.35">
      <c r="A5" t="s">
        <v>15</v>
      </c>
    </row>
    <row r="6" spans="1:1" x14ac:dyDescent="0.35">
      <c r="A6" t="s">
        <v>16</v>
      </c>
    </row>
    <row r="7" spans="1:1" x14ac:dyDescent="0.35">
      <c r="A7" t="s">
        <v>17</v>
      </c>
    </row>
    <row r="8" spans="1:1" x14ac:dyDescent="0.35">
      <c r="A8" t="s">
        <v>71</v>
      </c>
    </row>
    <row r="9" spans="1:1" x14ac:dyDescent="0.35">
      <c r="A9" t="s">
        <v>72</v>
      </c>
    </row>
    <row r="10" spans="1:1" x14ac:dyDescent="0.35">
      <c r="A10" t="s">
        <v>73</v>
      </c>
    </row>
    <row r="12" spans="1:1" x14ac:dyDescent="0.35">
      <c r="A12" t="s">
        <v>21</v>
      </c>
    </row>
    <row r="13" spans="1:1" x14ac:dyDescent="0.35">
      <c r="A13" t="s">
        <v>22</v>
      </c>
    </row>
    <row r="14" spans="1:1" x14ac:dyDescent="0.35">
      <c r="A14" t="s">
        <v>74</v>
      </c>
    </row>
    <row r="15" spans="1:1" x14ac:dyDescent="0.35">
      <c r="A15" t="s">
        <v>75</v>
      </c>
    </row>
    <row r="16" spans="1:1" x14ac:dyDescent="0.35">
      <c r="A16" t="s">
        <v>76</v>
      </c>
    </row>
    <row r="18" spans="1:1" x14ac:dyDescent="0.35">
      <c r="A18" t="s">
        <v>26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B2D31-89A4-4DA3-A6C5-B1D3754F58FA}">
  <dimension ref="A1:K18"/>
  <sheetViews>
    <sheetView workbookViewId="0">
      <selection activeCell="F33" sqref="F33"/>
    </sheetView>
  </sheetViews>
  <sheetFormatPr defaultRowHeight="14.5" x14ac:dyDescent="0.35"/>
  <sheetData>
    <row r="1" spans="1:11" x14ac:dyDescent="0.35">
      <c r="A1" s="10" t="s">
        <v>121</v>
      </c>
      <c r="B1" s="11"/>
      <c r="C1" s="11"/>
      <c r="D1" s="11"/>
      <c r="E1" s="11"/>
      <c r="F1" s="11"/>
      <c r="G1" s="11"/>
      <c r="H1" s="11"/>
      <c r="I1" s="11"/>
    </row>
    <row r="2" spans="1:11" x14ac:dyDescent="0.35">
      <c r="A2" s="11"/>
      <c r="B2" s="11"/>
      <c r="C2" s="11"/>
      <c r="D2" s="11"/>
      <c r="E2" s="11"/>
      <c r="F2" s="11"/>
      <c r="G2" s="11"/>
      <c r="H2" s="11"/>
      <c r="I2" s="11"/>
    </row>
    <row r="3" spans="1:11" x14ac:dyDescent="0.35">
      <c r="A3" s="11"/>
      <c r="B3" s="11"/>
      <c r="C3" s="11"/>
      <c r="D3" s="11"/>
      <c r="E3" s="11"/>
      <c r="F3" s="11"/>
      <c r="G3" s="11"/>
      <c r="H3" s="11"/>
      <c r="I3" s="11"/>
    </row>
    <row r="4" spans="1:11" x14ac:dyDescent="0.35">
      <c r="A4" s="11"/>
      <c r="B4" s="11"/>
      <c r="C4" s="11"/>
      <c r="D4" s="11"/>
      <c r="E4" s="11"/>
      <c r="F4" s="11"/>
      <c r="G4" s="11"/>
      <c r="H4" s="11"/>
      <c r="I4" s="11"/>
    </row>
    <row r="5" spans="1:11" x14ac:dyDescent="0.35">
      <c r="A5" s="11"/>
      <c r="B5" s="11"/>
      <c r="C5" s="11"/>
      <c r="D5" s="11"/>
      <c r="E5" s="11"/>
      <c r="F5" s="11"/>
      <c r="G5" s="11"/>
      <c r="H5" s="11"/>
      <c r="I5" s="11"/>
    </row>
    <row r="6" spans="1:11" x14ac:dyDescent="0.35">
      <c r="A6" s="11"/>
      <c r="B6" s="11"/>
      <c r="C6" s="11"/>
      <c r="D6" s="11"/>
      <c r="E6" s="11"/>
      <c r="F6" s="11"/>
      <c r="G6" s="11"/>
      <c r="H6" s="11"/>
      <c r="I6" s="11"/>
    </row>
    <row r="7" spans="1:11" x14ac:dyDescent="0.35">
      <c r="A7" s="11"/>
      <c r="B7" s="11"/>
      <c r="C7" s="11"/>
      <c r="D7" s="11"/>
      <c r="E7" s="11"/>
      <c r="F7" s="11"/>
      <c r="G7" s="11"/>
      <c r="H7" s="11"/>
      <c r="I7" s="11"/>
    </row>
    <row r="8" spans="1:11" x14ac:dyDescent="0.35">
      <c r="A8" s="11"/>
      <c r="B8" s="11"/>
      <c r="C8" s="11"/>
      <c r="D8" s="11"/>
      <c r="E8" s="11"/>
      <c r="F8" s="11"/>
      <c r="G8" s="11"/>
      <c r="H8" s="11"/>
      <c r="I8" s="11"/>
    </row>
    <row r="9" spans="1:11" x14ac:dyDescent="0.35">
      <c r="A9" s="11"/>
      <c r="B9" s="11"/>
      <c r="C9" s="11"/>
      <c r="D9" s="11"/>
      <c r="E9" s="11"/>
      <c r="F9" s="11"/>
      <c r="G9" s="11"/>
      <c r="H9" s="11"/>
      <c r="I9" s="11"/>
    </row>
    <row r="10" spans="1:11" x14ac:dyDescent="0.35">
      <c r="A10" s="11"/>
      <c r="B10" s="11"/>
      <c r="C10" s="11"/>
      <c r="D10" s="11"/>
      <c r="E10" s="11"/>
      <c r="F10" s="11"/>
      <c r="G10" s="11"/>
      <c r="H10" s="11"/>
      <c r="I10" s="11"/>
      <c r="K10" s="12"/>
    </row>
    <row r="11" spans="1:11" x14ac:dyDescent="0.35">
      <c r="A11" s="11"/>
      <c r="B11" s="11"/>
      <c r="C11" s="11"/>
      <c r="D11" s="11"/>
      <c r="E11" s="11"/>
      <c r="F11" s="11"/>
      <c r="G11" s="11"/>
      <c r="H11" s="11"/>
      <c r="I11" s="11"/>
    </row>
    <row r="12" spans="1:11" x14ac:dyDescent="0.35">
      <c r="A12" s="11"/>
      <c r="B12" s="11"/>
      <c r="C12" s="11"/>
      <c r="D12" s="11"/>
      <c r="E12" s="11"/>
      <c r="F12" s="11"/>
      <c r="G12" s="11"/>
      <c r="H12" s="11"/>
      <c r="I12" s="11"/>
    </row>
    <row r="13" spans="1:11" x14ac:dyDescent="0.35">
      <c r="A13" s="11"/>
      <c r="B13" s="11"/>
      <c r="C13" s="11"/>
      <c r="D13" s="11"/>
      <c r="E13" s="11"/>
      <c r="F13" s="11"/>
      <c r="G13" s="11"/>
      <c r="H13" s="11"/>
      <c r="I13" s="11"/>
    </row>
    <row r="14" spans="1:11" x14ac:dyDescent="0.35">
      <c r="A14" s="11"/>
      <c r="B14" s="11"/>
      <c r="C14" s="11"/>
      <c r="D14" s="11"/>
      <c r="E14" s="11"/>
      <c r="F14" s="11"/>
      <c r="G14" s="11"/>
      <c r="H14" s="11"/>
      <c r="I14" s="11"/>
    </row>
    <row r="15" spans="1:11" x14ac:dyDescent="0.35">
      <c r="A15" s="11"/>
      <c r="B15" s="11"/>
      <c r="C15" s="11"/>
      <c r="D15" s="11"/>
      <c r="E15" s="11"/>
      <c r="F15" s="11"/>
      <c r="G15" s="11"/>
      <c r="H15" s="11"/>
      <c r="I15" s="11"/>
    </row>
    <row r="16" spans="1:11" x14ac:dyDescent="0.35">
      <c r="A16" s="11"/>
      <c r="B16" s="11"/>
      <c r="C16" s="11"/>
      <c r="D16" s="11"/>
      <c r="E16" s="11"/>
      <c r="F16" s="11"/>
      <c r="G16" s="11"/>
      <c r="H16" s="11"/>
      <c r="I16" s="11"/>
    </row>
    <row r="17" spans="1:9" x14ac:dyDescent="0.35">
      <c r="A17" s="11"/>
      <c r="B17" s="11"/>
      <c r="C17" s="11"/>
      <c r="D17" s="11"/>
      <c r="E17" s="11"/>
      <c r="F17" s="11"/>
      <c r="G17" s="11"/>
      <c r="H17" s="11"/>
      <c r="I17" s="11"/>
    </row>
    <row r="18" spans="1:9" x14ac:dyDescent="0.35">
      <c r="A18" s="11"/>
      <c r="B18" s="11"/>
      <c r="C18" s="11"/>
      <c r="D18" s="11"/>
      <c r="E18" s="11"/>
      <c r="F18" s="11"/>
      <c r="G18" s="11"/>
      <c r="H18" s="11"/>
      <c r="I18" s="11"/>
    </row>
  </sheetData>
  <mergeCells count="1">
    <mergeCell ref="A1:I18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017A9-2B8A-4B49-A98E-A90256A3555C}">
  <dimension ref="A1:A18"/>
  <sheetViews>
    <sheetView workbookViewId="0">
      <selection activeCell="J29" sqref="J29"/>
    </sheetView>
  </sheetViews>
  <sheetFormatPr defaultRowHeight="14.5" x14ac:dyDescent="0.35"/>
  <sheetData>
    <row r="1" spans="1:1" x14ac:dyDescent="0.35">
      <c r="A1" t="s">
        <v>77</v>
      </c>
    </row>
    <row r="3" spans="1:1" x14ac:dyDescent="0.35">
      <c r="A3" t="s">
        <v>13</v>
      </c>
    </row>
    <row r="4" spans="1:1" x14ac:dyDescent="0.35">
      <c r="A4" t="s">
        <v>14</v>
      </c>
    </row>
    <row r="5" spans="1:1" x14ac:dyDescent="0.35">
      <c r="A5" t="s">
        <v>15</v>
      </c>
    </row>
    <row r="6" spans="1:1" x14ac:dyDescent="0.35">
      <c r="A6" t="s">
        <v>16</v>
      </c>
    </row>
    <row r="7" spans="1:1" x14ac:dyDescent="0.35">
      <c r="A7" t="s">
        <v>17</v>
      </c>
    </row>
    <row r="8" spans="1:1" x14ac:dyDescent="0.35">
      <c r="A8" t="s">
        <v>78</v>
      </c>
    </row>
    <row r="9" spans="1:1" x14ac:dyDescent="0.35">
      <c r="A9" t="s">
        <v>79</v>
      </c>
    </row>
    <row r="10" spans="1:1" x14ac:dyDescent="0.35">
      <c r="A10" t="s">
        <v>80</v>
      </c>
    </row>
    <row r="12" spans="1:1" x14ac:dyDescent="0.35">
      <c r="A12" t="s">
        <v>21</v>
      </c>
    </row>
    <row r="13" spans="1:1" x14ac:dyDescent="0.35">
      <c r="A13" t="s">
        <v>22</v>
      </c>
    </row>
    <row r="14" spans="1:1" x14ac:dyDescent="0.35">
      <c r="A14" t="s">
        <v>81</v>
      </c>
    </row>
    <row r="15" spans="1:1" x14ac:dyDescent="0.35">
      <c r="A15" t="s">
        <v>82</v>
      </c>
    </row>
    <row r="16" spans="1:1" x14ac:dyDescent="0.35">
      <c r="A16" t="s">
        <v>83</v>
      </c>
    </row>
    <row r="18" spans="1:1" x14ac:dyDescent="0.35">
      <c r="A18" t="s">
        <v>26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AE8FB-C6BC-4883-B153-BC85355AB3CD}">
  <dimension ref="A1:A18"/>
  <sheetViews>
    <sheetView workbookViewId="0">
      <selection activeCell="I28" sqref="I28"/>
    </sheetView>
  </sheetViews>
  <sheetFormatPr defaultRowHeight="14.5" x14ac:dyDescent="0.35"/>
  <sheetData>
    <row r="1" spans="1:1" x14ac:dyDescent="0.35">
      <c r="A1" t="s">
        <v>84</v>
      </c>
    </row>
    <row r="3" spans="1:1" x14ac:dyDescent="0.35">
      <c r="A3" t="s">
        <v>13</v>
      </c>
    </row>
    <row r="4" spans="1:1" x14ac:dyDescent="0.35">
      <c r="A4" t="s">
        <v>14</v>
      </c>
    </row>
    <row r="5" spans="1:1" x14ac:dyDescent="0.35">
      <c r="A5" t="s">
        <v>15</v>
      </c>
    </row>
    <row r="6" spans="1:1" x14ac:dyDescent="0.35">
      <c r="A6" t="s">
        <v>16</v>
      </c>
    </row>
    <row r="7" spans="1:1" x14ac:dyDescent="0.35">
      <c r="A7" t="s">
        <v>17</v>
      </c>
    </row>
    <row r="8" spans="1:1" x14ac:dyDescent="0.35">
      <c r="A8" t="s">
        <v>85</v>
      </c>
    </row>
    <row r="9" spans="1:1" x14ac:dyDescent="0.35">
      <c r="A9" t="s">
        <v>86</v>
      </c>
    </row>
    <row r="10" spans="1:1" x14ac:dyDescent="0.35">
      <c r="A10" t="s">
        <v>87</v>
      </c>
    </row>
    <row r="12" spans="1:1" x14ac:dyDescent="0.35">
      <c r="A12" t="s">
        <v>21</v>
      </c>
    </row>
    <row r="13" spans="1:1" x14ac:dyDescent="0.35">
      <c r="A13" t="s">
        <v>22</v>
      </c>
    </row>
    <row r="14" spans="1:1" x14ac:dyDescent="0.35">
      <c r="A14" t="s">
        <v>88</v>
      </c>
    </row>
    <row r="15" spans="1:1" x14ac:dyDescent="0.35">
      <c r="A15" t="s">
        <v>89</v>
      </c>
    </row>
    <row r="16" spans="1:1" x14ac:dyDescent="0.35">
      <c r="A16" t="s">
        <v>90</v>
      </c>
    </row>
    <row r="18" spans="1:1" x14ac:dyDescent="0.35">
      <c r="A18" t="s">
        <v>26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ED30C-E5CF-4A33-8D23-1F485E26E796}">
  <dimension ref="A1:I18"/>
  <sheetViews>
    <sheetView workbookViewId="0">
      <selection activeCell="E25" sqref="E25"/>
    </sheetView>
  </sheetViews>
  <sheetFormatPr defaultRowHeight="14.5" x14ac:dyDescent="0.35"/>
  <sheetData>
    <row r="1" spans="1:9" x14ac:dyDescent="0.35">
      <c r="A1" s="10" t="s">
        <v>123</v>
      </c>
      <c r="B1" s="11"/>
      <c r="C1" s="11"/>
      <c r="D1" s="11"/>
      <c r="E1" s="11"/>
      <c r="F1" s="11"/>
      <c r="G1" s="11"/>
      <c r="H1" s="11"/>
      <c r="I1" s="11"/>
    </row>
    <row r="2" spans="1:9" x14ac:dyDescent="0.35">
      <c r="A2" s="11"/>
      <c r="B2" s="11"/>
      <c r="C2" s="11"/>
      <c r="D2" s="11"/>
      <c r="E2" s="11"/>
      <c r="F2" s="11"/>
      <c r="G2" s="11"/>
      <c r="H2" s="11"/>
      <c r="I2" s="11"/>
    </row>
    <row r="3" spans="1:9" x14ac:dyDescent="0.35">
      <c r="A3" s="11"/>
      <c r="B3" s="11"/>
      <c r="C3" s="11"/>
      <c r="D3" s="11"/>
      <c r="E3" s="11"/>
      <c r="F3" s="11"/>
      <c r="G3" s="11"/>
      <c r="H3" s="11"/>
      <c r="I3" s="11"/>
    </row>
    <row r="4" spans="1:9" x14ac:dyDescent="0.35">
      <c r="A4" s="11"/>
      <c r="B4" s="11"/>
      <c r="C4" s="11"/>
      <c r="D4" s="11"/>
      <c r="E4" s="11"/>
      <c r="F4" s="11"/>
      <c r="G4" s="11"/>
      <c r="H4" s="11"/>
      <c r="I4" s="11"/>
    </row>
    <row r="5" spans="1:9" x14ac:dyDescent="0.35">
      <c r="A5" s="11"/>
      <c r="B5" s="11"/>
      <c r="C5" s="11"/>
      <c r="D5" s="11"/>
      <c r="E5" s="11"/>
      <c r="F5" s="11"/>
      <c r="G5" s="11"/>
      <c r="H5" s="11"/>
      <c r="I5" s="11"/>
    </row>
    <row r="6" spans="1:9" x14ac:dyDescent="0.35">
      <c r="A6" s="11"/>
      <c r="B6" s="11"/>
      <c r="C6" s="11"/>
      <c r="D6" s="11"/>
      <c r="E6" s="11"/>
      <c r="F6" s="11"/>
      <c r="G6" s="11"/>
      <c r="H6" s="11"/>
      <c r="I6" s="11"/>
    </row>
    <row r="7" spans="1:9" x14ac:dyDescent="0.35">
      <c r="A7" s="11"/>
      <c r="B7" s="11"/>
      <c r="C7" s="11"/>
      <c r="D7" s="11"/>
      <c r="E7" s="11"/>
      <c r="F7" s="11"/>
      <c r="G7" s="11"/>
      <c r="H7" s="11"/>
      <c r="I7" s="11"/>
    </row>
    <row r="8" spans="1:9" x14ac:dyDescent="0.35">
      <c r="A8" s="11"/>
      <c r="B8" s="11"/>
      <c r="C8" s="11"/>
      <c r="D8" s="11"/>
      <c r="E8" s="11"/>
      <c r="F8" s="11"/>
      <c r="G8" s="11"/>
      <c r="H8" s="11"/>
      <c r="I8" s="11"/>
    </row>
    <row r="9" spans="1:9" x14ac:dyDescent="0.35">
      <c r="A9" s="11"/>
      <c r="B9" s="11"/>
      <c r="C9" s="11"/>
      <c r="D9" s="11"/>
      <c r="E9" s="11"/>
      <c r="F9" s="11"/>
      <c r="G9" s="11"/>
      <c r="H9" s="11"/>
      <c r="I9" s="11"/>
    </row>
    <row r="10" spans="1:9" x14ac:dyDescent="0.35">
      <c r="A10" s="11"/>
      <c r="B10" s="11"/>
      <c r="C10" s="11"/>
      <c r="D10" s="11"/>
      <c r="E10" s="11"/>
      <c r="F10" s="11"/>
      <c r="G10" s="11"/>
      <c r="H10" s="11"/>
      <c r="I10" s="11"/>
    </row>
    <row r="11" spans="1:9" x14ac:dyDescent="0.35">
      <c r="A11" s="11"/>
      <c r="B11" s="11"/>
      <c r="C11" s="11"/>
      <c r="D11" s="11"/>
      <c r="E11" s="11"/>
      <c r="F11" s="11"/>
      <c r="G11" s="11"/>
      <c r="H11" s="11"/>
      <c r="I11" s="11"/>
    </row>
    <row r="12" spans="1:9" x14ac:dyDescent="0.35">
      <c r="A12" s="11"/>
      <c r="B12" s="11"/>
      <c r="C12" s="11"/>
      <c r="D12" s="11"/>
      <c r="E12" s="11"/>
      <c r="F12" s="11"/>
      <c r="G12" s="11"/>
      <c r="H12" s="11"/>
      <c r="I12" s="11"/>
    </row>
    <row r="13" spans="1:9" x14ac:dyDescent="0.35">
      <c r="A13" s="11"/>
      <c r="B13" s="11"/>
      <c r="C13" s="11"/>
      <c r="D13" s="11"/>
      <c r="E13" s="11"/>
      <c r="F13" s="11"/>
      <c r="G13" s="11"/>
      <c r="H13" s="11"/>
      <c r="I13" s="11"/>
    </row>
    <row r="14" spans="1:9" x14ac:dyDescent="0.35">
      <c r="A14" s="11"/>
      <c r="B14" s="11"/>
      <c r="C14" s="11"/>
      <c r="D14" s="11"/>
      <c r="E14" s="11"/>
      <c r="F14" s="11"/>
      <c r="G14" s="11"/>
      <c r="H14" s="11"/>
      <c r="I14" s="11"/>
    </row>
    <row r="15" spans="1:9" x14ac:dyDescent="0.35">
      <c r="A15" s="11"/>
      <c r="B15" s="11"/>
      <c r="C15" s="11"/>
      <c r="D15" s="11"/>
      <c r="E15" s="11"/>
      <c r="F15" s="11"/>
      <c r="G15" s="11"/>
      <c r="H15" s="11"/>
      <c r="I15" s="11"/>
    </row>
    <row r="16" spans="1:9" x14ac:dyDescent="0.35">
      <c r="A16" s="11"/>
      <c r="B16" s="11"/>
      <c r="C16" s="11"/>
      <c r="D16" s="11"/>
      <c r="E16" s="11"/>
      <c r="F16" s="11"/>
      <c r="G16" s="11"/>
      <c r="H16" s="11"/>
      <c r="I16" s="11"/>
    </row>
    <row r="17" spans="1:9" x14ac:dyDescent="0.35">
      <c r="A17" s="11"/>
      <c r="B17" s="11"/>
      <c r="C17" s="11"/>
      <c r="D17" s="11"/>
      <c r="E17" s="11"/>
      <c r="F17" s="11"/>
      <c r="G17" s="11"/>
      <c r="H17" s="11"/>
      <c r="I17" s="11"/>
    </row>
    <row r="18" spans="1:9" x14ac:dyDescent="0.35">
      <c r="A18" s="11"/>
      <c r="B18" s="11"/>
      <c r="C18" s="11"/>
      <c r="D18" s="11"/>
      <c r="E18" s="11"/>
      <c r="F18" s="11"/>
      <c r="G18" s="11"/>
      <c r="H18" s="11"/>
      <c r="I18" s="11"/>
    </row>
  </sheetData>
  <mergeCells count="1">
    <mergeCell ref="A1:I18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E4D44-1A4E-4339-9A23-D3CB75FF6EFF}">
  <dimension ref="A1:C47"/>
  <sheetViews>
    <sheetView topLeftCell="A28" workbookViewId="0">
      <selection activeCell="A3" sqref="A3:C45"/>
    </sheetView>
  </sheetViews>
  <sheetFormatPr defaultRowHeight="14.5" x14ac:dyDescent="0.35"/>
  <cols>
    <col min="2" max="2" width="15" customWidth="1"/>
    <col min="3" max="3" width="28.6328125" customWidth="1"/>
  </cols>
  <sheetData>
    <row r="1" spans="1:3" x14ac:dyDescent="0.35">
      <c r="A1" t="s">
        <v>113</v>
      </c>
      <c r="B1" t="s">
        <v>114</v>
      </c>
      <c r="C1" t="s">
        <v>115</v>
      </c>
    </row>
    <row r="2" spans="1:3" x14ac:dyDescent="0.35">
      <c r="A2">
        <v>1</v>
      </c>
      <c r="B2">
        <v>1087</v>
      </c>
      <c r="C2" s="5">
        <v>3237.9897460900002</v>
      </c>
    </row>
    <row r="3" spans="1:3" x14ac:dyDescent="0.35">
      <c r="A3">
        <v>2</v>
      </c>
      <c r="B3">
        <v>1062</v>
      </c>
      <c r="C3" s="5">
        <v>3123.3532714799999</v>
      </c>
    </row>
    <row r="4" spans="1:3" x14ac:dyDescent="0.35">
      <c r="A4">
        <v>3</v>
      </c>
      <c r="B4">
        <v>1046</v>
      </c>
      <c r="C4" s="5">
        <v>3018.20703125</v>
      </c>
    </row>
    <row r="5" spans="1:3" x14ac:dyDescent="0.35">
      <c r="A5">
        <v>4</v>
      </c>
      <c r="B5">
        <v>1047</v>
      </c>
      <c r="C5" s="5">
        <v>2916.2229003900002</v>
      </c>
    </row>
    <row r="6" spans="1:3" x14ac:dyDescent="0.35">
      <c r="A6">
        <v>5</v>
      </c>
      <c r="B6">
        <v>1041</v>
      </c>
      <c r="C6" s="5">
        <v>2818.2167968799999</v>
      </c>
    </row>
    <row r="7" spans="1:3" x14ac:dyDescent="0.35">
      <c r="A7">
        <v>6</v>
      </c>
      <c r="B7">
        <v>1020</v>
      </c>
      <c r="C7" s="5">
        <v>2686.2336425799999</v>
      </c>
    </row>
    <row r="8" spans="1:3" x14ac:dyDescent="0.35">
      <c r="A8">
        <v>7</v>
      </c>
      <c r="B8">
        <v>983</v>
      </c>
      <c r="C8" s="5">
        <v>2585.2856445299999</v>
      </c>
    </row>
    <row r="9" spans="1:3" x14ac:dyDescent="0.35">
      <c r="A9">
        <v>8</v>
      </c>
      <c r="B9">
        <v>949</v>
      </c>
      <c r="C9" s="5">
        <v>2429.2712402299999</v>
      </c>
    </row>
    <row r="10" spans="1:3" x14ac:dyDescent="0.35">
      <c r="A10">
        <v>9</v>
      </c>
      <c r="B10">
        <v>913</v>
      </c>
      <c r="C10" s="5">
        <v>2310.1774902299999</v>
      </c>
    </row>
    <row r="11" spans="1:3" x14ac:dyDescent="0.35">
      <c r="A11">
        <v>10</v>
      </c>
      <c r="B11">
        <v>885</v>
      </c>
      <c r="C11" s="5">
        <v>2238.2409668</v>
      </c>
    </row>
    <row r="12" spans="1:3" x14ac:dyDescent="0.35">
      <c r="A12">
        <v>11</v>
      </c>
      <c r="B12">
        <v>884</v>
      </c>
      <c r="C12" s="5">
        <v>2176.1313476599998</v>
      </c>
    </row>
    <row r="13" spans="1:3" x14ac:dyDescent="0.35">
      <c r="A13">
        <v>12</v>
      </c>
      <c r="B13">
        <v>867</v>
      </c>
      <c r="C13" s="5">
        <v>2162.6936035200001</v>
      </c>
    </row>
    <row r="14" spans="1:3" x14ac:dyDescent="0.35">
      <c r="A14">
        <v>13</v>
      </c>
      <c r="B14">
        <v>852</v>
      </c>
      <c r="C14" s="5">
        <v>2122.2141113299999</v>
      </c>
    </row>
    <row r="15" spans="1:3" x14ac:dyDescent="0.35">
      <c r="A15">
        <v>14</v>
      </c>
      <c r="B15">
        <v>851</v>
      </c>
      <c r="C15" s="5">
        <v>2035.1241455100001</v>
      </c>
    </row>
    <row r="16" spans="1:3" x14ac:dyDescent="0.35">
      <c r="A16">
        <v>15</v>
      </c>
      <c r="B16">
        <v>826</v>
      </c>
      <c r="C16" s="5">
        <v>1902.74255371</v>
      </c>
    </row>
    <row r="17" spans="1:3" x14ac:dyDescent="0.35">
      <c r="A17">
        <v>16</v>
      </c>
      <c r="B17">
        <v>793</v>
      </c>
      <c r="C17" s="5">
        <v>1807.7528076200001</v>
      </c>
    </row>
    <row r="18" spans="1:3" x14ac:dyDescent="0.35">
      <c r="A18">
        <v>17</v>
      </c>
      <c r="B18">
        <v>762</v>
      </c>
      <c r="C18" s="5">
        <v>1759.0534668</v>
      </c>
    </row>
    <row r="19" spans="1:3" x14ac:dyDescent="0.35">
      <c r="A19">
        <v>18</v>
      </c>
      <c r="B19">
        <v>752</v>
      </c>
      <c r="C19" s="5">
        <v>1710.6140136700001</v>
      </c>
    </row>
    <row r="20" spans="1:3" x14ac:dyDescent="0.35">
      <c r="A20">
        <v>19</v>
      </c>
      <c r="B20">
        <v>736</v>
      </c>
      <c r="C20" s="5">
        <v>1577.5518798799999</v>
      </c>
    </row>
    <row r="21" spans="1:3" x14ac:dyDescent="0.35">
      <c r="A21">
        <v>20</v>
      </c>
      <c r="B21">
        <v>721</v>
      </c>
      <c r="C21" s="5">
        <v>1526.9757080100001</v>
      </c>
    </row>
    <row r="22" spans="1:3" x14ac:dyDescent="0.35">
      <c r="A22">
        <v>21</v>
      </c>
      <c r="B22">
        <v>674</v>
      </c>
      <c r="C22" s="5">
        <v>1441.8370361299999</v>
      </c>
    </row>
    <row r="23" spans="1:3" x14ac:dyDescent="0.35">
      <c r="A23">
        <v>22</v>
      </c>
      <c r="B23">
        <v>647</v>
      </c>
      <c r="C23" s="5">
        <v>1340.0395507799999</v>
      </c>
    </row>
    <row r="24" spans="1:3" x14ac:dyDescent="0.35">
      <c r="A24">
        <v>23</v>
      </c>
      <c r="B24">
        <v>624</v>
      </c>
      <c r="C24" s="5">
        <v>1289.3337402300001</v>
      </c>
    </row>
    <row r="25" spans="1:3" x14ac:dyDescent="0.35">
      <c r="A25">
        <v>24</v>
      </c>
      <c r="B25">
        <v>579</v>
      </c>
      <c r="C25" s="5">
        <v>1206.9226074200001</v>
      </c>
    </row>
    <row r="26" spans="1:3" x14ac:dyDescent="0.35">
      <c r="A26">
        <v>25</v>
      </c>
      <c r="B26">
        <v>561</v>
      </c>
      <c r="C26" s="5">
        <v>1159.1307373</v>
      </c>
    </row>
    <row r="27" spans="1:3" x14ac:dyDescent="0.35">
      <c r="A27">
        <v>26</v>
      </c>
      <c r="B27">
        <v>519</v>
      </c>
      <c r="C27" s="5">
        <v>1113.4626464800001</v>
      </c>
    </row>
    <row r="28" spans="1:3" x14ac:dyDescent="0.35">
      <c r="A28">
        <v>27</v>
      </c>
      <c r="B28">
        <v>491</v>
      </c>
      <c r="C28" s="5">
        <v>995.80053710899995</v>
      </c>
    </row>
    <row r="29" spans="1:3" x14ac:dyDescent="0.35">
      <c r="A29">
        <v>28</v>
      </c>
      <c r="B29">
        <v>463</v>
      </c>
      <c r="C29" s="5">
        <v>954.46228027300003</v>
      </c>
    </row>
    <row r="30" spans="1:3" x14ac:dyDescent="0.35">
      <c r="A30">
        <v>29</v>
      </c>
      <c r="B30">
        <v>433</v>
      </c>
      <c r="C30" s="5">
        <v>915.71697998000002</v>
      </c>
    </row>
    <row r="31" spans="1:3" x14ac:dyDescent="0.35">
      <c r="A31">
        <v>30</v>
      </c>
      <c r="B31">
        <v>428</v>
      </c>
      <c r="C31" s="5">
        <v>887.72674560500002</v>
      </c>
    </row>
    <row r="32" spans="1:3" x14ac:dyDescent="0.35">
      <c r="A32">
        <v>31</v>
      </c>
      <c r="B32">
        <v>420</v>
      </c>
      <c r="C32" s="5">
        <v>821.85357666000004</v>
      </c>
    </row>
    <row r="33" spans="1:3" x14ac:dyDescent="0.35">
      <c r="A33">
        <v>32</v>
      </c>
      <c r="B33">
        <v>415</v>
      </c>
      <c r="C33" s="5">
        <v>995.80053710899995</v>
      </c>
    </row>
    <row r="34" spans="1:3" x14ac:dyDescent="0.35">
      <c r="A34">
        <v>33</v>
      </c>
      <c r="B34">
        <v>383</v>
      </c>
      <c r="C34" s="5">
        <v>954.46228027300003</v>
      </c>
    </row>
    <row r="35" spans="1:3" x14ac:dyDescent="0.35">
      <c r="A35">
        <v>34</v>
      </c>
      <c r="B35">
        <v>356</v>
      </c>
      <c r="C35" s="5">
        <v>915.71697998000002</v>
      </c>
    </row>
    <row r="36" spans="1:3" x14ac:dyDescent="0.35">
      <c r="A36">
        <v>35</v>
      </c>
      <c r="B36">
        <v>333</v>
      </c>
      <c r="C36" s="5">
        <v>887.72674560500002</v>
      </c>
    </row>
    <row r="37" spans="1:3" x14ac:dyDescent="0.35">
      <c r="A37">
        <v>36</v>
      </c>
      <c r="B37">
        <v>307</v>
      </c>
      <c r="C37" s="5">
        <v>821.85357666000004</v>
      </c>
    </row>
    <row r="38" spans="1:3" x14ac:dyDescent="0.35">
      <c r="A38">
        <v>37</v>
      </c>
      <c r="B38">
        <v>271</v>
      </c>
      <c r="C38" s="5">
        <v>506.78582763700001</v>
      </c>
    </row>
    <row r="39" spans="1:3" x14ac:dyDescent="0.35">
      <c r="A39">
        <v>38</v>
      </c>
      <c r="B39">
        <v>256</v>
      </c>
      <c r="C39" s="5">
        <v>459.41976928700001</v>
      </c>
    </row>
    <row r="40" spans="1:3" x14ac:dyDescent="0.35">
      <c r="A40">
        <v>39</v>
      </c>
      <c r="B40">
        <v>229</v>
      </c>
      <c r="C40" s="5">
        <v>436.990478516</v>
      </c>
    </row>
    <row r="41" spans="1:3" x14ac:dyDescent="0.35">
      <c r="A41">
        <v>40</v>
      </c>
      <c r="B41">
        <v>214</v>
      </c>
      <c r="C41" s="5">
        <v>396.48348999000001</v>
      </c>
    </row>
    <row r="42" spans="1:3" x14ac:dyDescent="0.35">
      <c r="A42">
        <v>41</v>
      </c>
      <c r="B42">
        <v>189</v>
      </c>
      <c r="C42" s="5">
        <v>377.78582763700001</v>
      </c>
    </row>
    <row r="43" spans="1:3" x14ac:dyDescent="0.35">
      <c r="A43">
        <v>42</v>
      </c>
      <c r="B43">
        <v>164</v>
      </c>
      <c r="C43" s="5">
        <v>343.36782836899999</v>
      </c>
    </row>
    <row r="44" spans="1:3" x14ac:dyDescent="0.35">
      <c r="A44">
        <v>43</v>
      </c>
      <c r="B44">
        <v>133</v>
      </c>
      <c r="C44" s="5">
        <v>316</v>
      </c>
    </row>
    <row r="45" spans="1:3" x14ac:dyDescent="0.35">
      <c r="A45">
        <v>44</v>
      </c>
      <c r="B45">
        <v>95</v>
      </c>
      <c r="C45" s="5">
        <v>303.63504028300002</v>
      </c>
    </row>
    <row r="46" spans="1:3" x14ac:dyDescent="0.35">
      <c r="A46">
        <v>45</v>
      </c>
      <c r="B46">
        <v>84</v>
      </c>
      <c r="C46" s="5">
        <v>284.71322631800001</v>
      </c>
    </row>
    <row r="47" spans="1:3" x14ac:dyDescent="0.35">
      <c r="A47">
        <v>46</v>
      </c>
      <c r="B47">
        <v>58</v>
      </c>
      <c r="C47" s="5">
        <v>294.68939209000001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3 component_summary</vt:lpstr>
      <vt:lpstr>P02_dry</vt:lpstr>
      <vt:lpstr>P02_wet</vt:lpstr>
      <vt:lpstr>P10_dry</vt:lpstr>
      <vt:lpstr>P10_wet</vt:lpstr>
      <vt:lpstr>P23_dry</vt:lpstr>
      <vt:lpstr>P23_wet</vt:lpstr>
      <vt:lpstr>P23 wet_redo</vt:lpstr>
      <vt:lpstr>P32_dry</vt:lpstr>
      <vt:lpstr>P32 dry_redo</vt:lpstr>
      <vt:lpstr>P32_wet</vt:lpstr>
      <vt:lpstr>P32 wet_redo</vt:lpstr>
      <vt:lpstr>P44_dry</vt:lpstr>
      <vt:lpstr>P44_wet</vt:lpstr>
      <vt:lpstr>P44 wet_redo</vt:lpstr>
      <vt:lpstr>gradient 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Lizzie</dc:creator>
  <cp:lastModifiedBy>Lizzie</cp:lastModifiedBy>
  <dcterms:created xsi:type="dcterms:W3CDTF">2022-05-29T20:55:24Z</dcterms:created>
  <dcterms:modified xsi:type="dcterms:W3CDTF">2022-06-07T03:54:18Z</dcterms:modified>
</cp:coreProperties>
</file>