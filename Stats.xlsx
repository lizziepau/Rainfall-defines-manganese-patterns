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aulus/Library/Mobile Documents/com~apple~CloudDocs/Manuscripts/2025_Paulus/Mn Rainfall Patterns/Geoderma/Data and Components/"/>
    </mc:Choice>
  </mc:AlternateContent>
  <xr:revisionPtr revIDLastSave="0" documentId="13_ncr:1_{9A7D60FA-2447-3C4B-B76D-4656F5348117}" xr6:coauthVersionLast="47" xr6:coauthVersionMax="47" xr10:uidLastSave="{00000000-0000-0000-0000-000000000000}"/>
  <bookViews>
    <workbookView xWindow="30240" yWindow="600" windowWidth="38400" windowHeight="21000" activeTab="1" xr2:uid="{7822C49C-B436-3F4C-80A0-09A25DC4F629}"/>
  </bookViews>
  <sheets>
    <sheet name="Summary" sheetId="1" r:id="rId1"/>
    <sheet name="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" l="1"/>
  <c r="J42" i="1"/>
  <c r="M20" i="1"/>
  <c r="L20" i="1"/>
  <c r="K20" i="1"/>
  <c r="M29" i="1"/>
  <c r="L29" i="1"/>
  <c r="K29" i="1"/>
  <c r="J29" i="1"/>
  <c r="M38" i="1"/>
  <c r="L38" i="1"/>
  <c r="K38" i="1"/>
  <c r="J38" i="1"/>
  <c r="L42" i="1"/>
  <c r="J20" i="1"/>
  <c r="J41" i="1" s="1"/>
  <c r="J44" i="1" s="1"/>
  <c r="M42" i="1"/>
  <c r="I15" i="1"/>
  <c r="J15" i="1"/>
  <c r="K15" i="1"/>
  <c r="L15" i="1"/>
  <c r="M15" i="1"/>
  <c r="I16" i="1"/>
  <c r="J16" i="1"/>
  <c r="K16" i="1"/>
  <c r="L16" i="1"/>
  <c r="M16" i="1"/>
  <c r="J17" i="1"/>
  <c r="K17" i="1"/>
  <c r="L17" i="1"/>
  <c r="M17" i="1"/>
  <c r="J18" i="1"/>
  <c r="K18" i="1"/>
  <c r="L18" i="1"/>
  <c r="M18" i="1"/>
  <c r="I23" i="1"/>
  <c r="J23" i="1"/>
  <c r="K23" i="1"/>
  <c r="L23" i="1"/>
  <c r="M23" i="1"/>
  <c r="I24" i="1"/>
  <c r="J24" i="1"/>
  <c r="K24" i="1"/>
  <c r="L24" i="1"/>
  <c r="M24" i="1"/>
  <c r="I25" i="1"/>
  <c r="J25" i="1"/>
  <c r="K25" i="1"/>
  <c r="L25" i="1"/>
  <c r="M25" i="1"/>
  <c r="J26" i="1"/>
  <c r="K26" i="1"/>
  <c r="L26" i="1"/>
  <c r="M26" i="1"/>
  <c r="J27" i="1"/>
  <c r="K27" i="1"/>
  <c r="L27" i="1"/>
  <c r="M27" i="1"/>
  <c r="I32" i="1"/>
  <c r="J32" i="1"/>
  <c r="K32" i="1"/>
  <c r="L32" i="1"/>
  <c r="M32" i="1"/>
  <c r="I33" i="1"/>
  <c r="J33" i="1"/>
  <c r="K33" i="1"/>
  <c r="L33" i="1"/>
  <c r="M33" i="1"/>
  <c r="I34" i="1"/>
  <c r="J34" i="1"/>
  <c r="K34" i="1"/>
  <c r="L34" i="1"/>
  <c r="M34" i="1"/>
  <c r="J35" i="1"/>
  <c r="K35" i="1"/>
  <c r="L35" i="1"/>
  <c r="M35" i="1"/>
  <c r="J36" i="1"/>
  <c r="K36" i="1"/>
  <c r="L36" i="1"/>
  <c r="M36" i="1"/>
  <c r="J14" i="1"/>
  <c r="K14" i="1"/>
  <c r="L14" i="1"/>
  <c r="M14" i="1"/>
  <c r="I14" i="1"/>
  <c r="O7" i="1"/>
  <c r="P7" i="1" s="1"/>
  <c r="O6" i="1"/>
  <c r="O5" i="1"/>
  <c r="O4" i="1"/>
  <c r="O3" i="1"/>
  <c r="J7" i="1"/>
  <c r="K7" i="1" s="1"/>
  <c r="J6" i="1"/>
  <c r="J5" i="1"/>
  <c r="J4" i="1"/>
  <c r="J3" i="1"/>
  <c r="E7" i="1"/>
  <c r="F7" i="1" s="1"/>
  <c r="E6" i="1"/>
  <c r="E5" i="1"/>
  <c r="E4" i="1"/>
  <c r="E3" i="1"/>
  <c r="M41" i="1" l="1"/>
  <c r="M44" i="1" s="1"/>
  <c r="K41" i="1"/>
  <c r="K44" i="1" s="1"/>
  <c r="L41" i="1"/>
  <c r="L44" i="1" s="1"/>
  <c r="K6" i="1"/>
  <c r="K4" i="1"/>
  <c r="K5" i="1"/>
  <c r="P4" i="1"/>
  <c r="P3" i="1"/>
  <c r="P5" i="1"/>
  <c r="P6" i="1"/>
  <c r="K3" i="1"/>
  <c r="F3" i="1"/>
  <c r="F4" i="1"/>
  <c r="F5" i="1"/>
  <c r="F6" i="1"/>
</calcChain>
</file>

<file path=xl/sharedStrings.xml><?xml version="1.0" encoding="utf-8"?>
<sst xmlns="http://schemas.openxmlformats.org/spreadsheetml/2006/main" count="202" uniqueCount="101">
  <si>
    <t>Soil Mn</t>
  </si>
  <si>
    <t>Grass Mn</t>
  </si>
  <si>
    <t>Extract Mn</t>
  </si>
  <si>
    <t>map</t>
  </si>
  <si>
    <t>map-aet</t>
  </si>
  <si>
    <t>soil moisture</t>
  </si>
  <si>
    <t>p-value</t>
  </si>
  <si>
    <t>Proportion of Variance Explained</t>
  </si>
  <si>
    <t>Adj R2</t>
  </si>
  <si>
    <t>all</t>
  </si>
  <si>
    <t>soil ph</t>
  </si>
  <si>
    <t>VPA Sum</t>
  </si>
  <si>
    <t>VPA Proportion</t>
  </si>
  <si>
    <t>Response Variables</t>
  </si>
  <si>
    <t>Statistic</t>
  </si>
  <si>
    <t>Explanatory Variables</t>
  </si>
  <si>
    <t>Additive</t>
  </si>
  <si>
    <t>MAP</t>
  </si>
  <si>
    <t>MAP-AET</t>
  </si>
  <si>
    <t>Soil pH</t>
  </si>
  <si>
    <t>Soil Moisture</t>
  </si>
  <si>
    <t>RDA proportion of variance explained</t>
  </si>
  <si>
    <t>RDA p-value</t>
  </si>
  <si>
    <t>VPA p-value</t>
  </si>
  <si>
    <t>VPA component contribution</t>
  </si>
  <si>
    <r>
      <t>RDA adjusted R</t>
    </r>
    <r>
      <rPr>
        <vertAlign val="superscript"/>
        <sz val="12"/>
        <color theme="1"/>
        <rFont val="Aptos Narrow"/>
        <family val="2"/>
        <scheme val="minor"/>
      </rPr>
      <t>2</t>
    </r>
  </si>
  <si>
    <t>3 Sig Figs</t>
  </si>
  <si>
    <t>Overall Rank</t>
  </si>
  <si>
    <t>Rank Score</t>
  </si>
  <si>
    <t>Rank</t>
  </si>
  <si>
    <t>Overall Rank Score</t>
  </si>
  <si>
    <t>RDA and VPA</t>
  </si>
  <si>
    <t>GAM p-value</t>
  </si>
  <si>
    <t>insignficant p-values incur 10-point penalty</t>
  </si>
  <si>
    <t>GAM</t>
  </si>
  <si>
    <t>soilmn ~ s(map) + s(map_aet) + s(ph) + s(soilmoisture)</t>
  </si>
  <si>
    <t>grassmn ~ s(map) + s(map_aet) + s(ph) + s(soilmoisture)</t>
  </si>
  <si>
    <t>PP-extracted Mn</t>
  </si>
  <si>
    <t>extractmn ~ s(map) + s(map_aet) + s(ph) + s(soilmoisture)</t>
  </si>
  <si>
    <t xml:space="preserve">                        </t>
  </si>
  <si>
    <t>extractmn.gam_simple &lt;- gam(extractmn ~ s(map) + s(map_aet) + s(ph) + s(soilmoisture), data = gradient.df, family = Gamma)</t>
  </si>
  <si>
    <t>grassmn.gam_simple &lt;- gam(grassmn ~ s(map) + s(map_aet) + s(ph) + s(soilmoisture), data = gradient.df, family = Gamma)</t>
  </si>
  <si>
    <t>soilmn.gam_simple &lt;- gam(soilmn ~ s(map) + s(map_aet) + s(ph) + s(soilmoisture), data = gradient.df, family = Gamma)</t>
  </si>
  <si>
    <t>RDA</t>
  </si>
  <si>
    <t>soilmn.rda.all&lt;-rda(soilmn~map+ph+soilmoisture+map_aet)</t>
  </si>
  <si>
    <t>Individual</t>
  </si>
  <si>
    <t>Soil Mn~MAP</t>
  </si>
  <si>
    <t>Soil Mn~MAP_AET</t>
  </si>
  <si>
    <t>soilmn.rda.map&lt;-rda(soilmn~map)</t>
  </si>
  <si>
    <t>soilmn.rda.map_aet&lt;-rda(soilmn~map_aet)</t>
  </si>
  <si>
    <t>soilmn.rda.ph&lt;-rda(soilmn~ph)</t>
  </si>
  <si>
    <t>Soil Mn~pH</t>
  </si>
  <si>
    <t>soilmn.rda.soilmoisture&lt;-rda(soilmn~soilmoisture)</t>
  </si>
  <si>
    <t>Soil Mn~soil moisture</t>
  </si>
  <si>
    <t>soilmn.r2.all&lt;-RsquareAdj(soilmn.rda.all)</t>
  </si>
  <si>
    <t>soilmn.r2.map&lt;-RsquareAdj(soilmn.rda.map)</t>
  </si>
  <si>
    <t>soilmn.r2.ph&lt;-RsquareAdj(soilmn.rda.ph)</t>
  </si>
  <si>
    <t>soilmn.r2.soilmoisture&lt;-RsquareAdj(soilmn.rda.soilmoisture)</t>
  </si>
  <si>
    <t>soilmn.r2.map_aet&lt;-RsquareAdj(soilmn.rda.map_aet)</t>
  </si>
  <si>
    <t>RDA adjusted R2</t>
  </si>
  <si>
    <t>Grass Mn~MAP</t>
  </si>
  <si>
    <t>Grass Mn~MAP_AET</t>
  </si>
  <si>
    <t>Grass Mn~pH</t>
  </si>
  <si>
    <t>Grass Mn~soil moisture</t>
  </si>
  <si>
    <t>Extract Mn~MAP</t>
  </si>
  <si>
    <t>Extract Mn~MAP_AET</t>
  </si>
  <si>
    <t>Extract Mn~pH</t>
  </si>
  <si>
    <t>Extract Mn~soil moisture</t>
  </si>
  <si>
    <t>grassmn.rda.all&lt;-rda(grassmn~map+ph+soilmoisture+map_aet)</t>
  </si>
  <si>
    <t>grassmn.rda.map&lt;-rda(grassmn~map)</t>
  </si>
  <si>
    <t>grassmn.rda.map_aet&lt;-rda(grassmn~map_aet)</t>
  </si>
  <si>
    <t>grassmn.rda.ph&lt;-rda(grassmn~ph)</t>
  </si>
  <si>
    <t>grassmn.rda.soilmoisture&lt;-rda(grassmn~soilmoisture)</t>
  </si>
  <si>
    <t>grassmn.r2.all&lt;-RsquareAdj(grassmn.rda.all)</t>
  </si>
  <si>
    <t>grassmn.r2.map&lt;-RsquareAdj(grassmn.rda.map)</t>
  </si>
  <si>
    <t>grassmn.r2.ph&lt;-RsquareAdj(grassmn.rda.ph)</t>
  </si>
  <si>
    <t>grassmn.r2.soilmoisture&lt;-RsquareAdj(grassmn.rda.soilmoisture)</t>
  </si>
  <si>
    <t>grassmn.r2.map_aet&lt;-RsquareAdj(grassmn.rda.map_aet)</t>
  </si>
  <si>
    <t>extractmn.rda.all&lt;-rda(extractmn~map+ph+soilmoisture+map_aet)</t>
  </si>
  <si>
    <t>extractmn.rda.map&lt;-rda(extractmn~map)</t>
  </si>
  <si>
    <t>extractmn.rda.map_aet&lt;-rda(extractmn~map_aet)</t>
  </si>
  <si>
    <t>extractmn.rda.ph&lt;-rda(extractmn~ph)</t>
  </si>
  <si>
    <t>extractmn.rda.soilmoisture&lt;-rda(extractmn~soilmoisture)</t>
  </si>
  <si>
    <t>extractmn.r2.all&lt;-RsquareAdj(extractmn.rda.all)</t>
  </si>
  <si>
    <t>extractmn.r2.map&lt;-RsquareAdj(extractmn.rda.map)</t>
  </si>
  <si>
    <t>extractmn.r2.ph&lt;-RsquareAdj(extractmn.rda.ph)</t>
  </si>
  <si>
    <t>extractmn.r2.soilmoisture&lt;-RsquareAdj(extractmn.rda.soilmoisture)</t>
  </si>
  <si>
    <t>extractmn.r2.map_aet&lt;-RsquareAdj(extractmn.rda.map_aet)</t>
  </si>
  <si>
    <t>VPA</t>
  </si>
  <si>
    <t>soilmn.vp2&lt;-varpart(soilmn,~map,~ph,~soilmoisture,~map_aet)</t>
  </si>
  <si>
    <t>grassmn.vp&lt;-varpart(grassmn,~map,~ph,~soilmoisture,~map_aet )</t>
  </si>
  <si>
    <t>extractmn.vp&lt;-varpart(extractmn,~map ,~ph ,~soilmoisture,~map_aet)</t>
  </si>
  <si>
    <t>Statistical Test</t>
  </si>
  <si>
    <t>Redundancy Analysis</t>
  </si>
  <si>
    <t>Model</t>
  </si>
  <si>
    <t>Generalized Additive Model</t>
  </si>
  <si>
    <t>Soil Mn: soilmn ~ s(map) + s(map_aet) + s(ph) + s(soilmoisture)</t>
  </si>
  <si>
    <t>Grass Mn: grassmn ~ s(map) + s(map_aet) + s(ph) + s(soilmoisture)</t>
  </si>
  <si>
    <t>Extract Mn: extractmn ~ s(map) + s(map_aet) + s(ph) + s(soilmoisture)</t>
  </si>
  <si>
    <t>Response Variable~Explanatory Variable(s)</t>
  </si>
  <si>
    <t>Variance-paritioning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</si>
</sst>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164" fontId="3" fillId="0" borderId="0" xfId="0" applyNumberFormat="1" applyFont="1"/>
    <xf numFmtId="11" fontId="3" fillId="0" borderId="0" xfId="0" applyNumberFormat="1" applyFont="1"/>
    <xf numFmtId="0" fontId="0" fillId="0" borderId="0" xfId="0" applyAlignment="1">
      <alignment wrapText="1"/>
    </xf>
    <xf numFmtId="2" fontId="3" fillId="0" borderId="0" xfId="0" applyNumberFormat="1" applyFont="1"/>
    <xf numFmtId="11" fontId="0" fillId="0" borderId="0" xfId="0" applyNumberFormat="1"/>
    <xf numFmtId="11" fontId="1" fillId="0" borderId="0" xfId="0" applyNumberFormat="1" applyFont="1"/>
    <xf numFmtId="11" fontId="2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3119-CFAC-DD4D-9B55-BB1451E6F24B}">
  <dimension ref="A1:P45"/>
  <sheetViews>
    <sheetView zoomScale="80" zoomScaleNormal="80" workbookViewId="0">
      <selection activeCell="B17" sqref="B17"/>
    </sheetView>
  </sheetViews>
  <sheetFormatPr baseColWidth="10" defaultRowHeight="16" x14ac:dyDescent="0.2"/>
  <cols>
    <col min="1" max="1" width="17.1640625" customWidth="1"/>
    <col min="2" max="2" width="25.33203125" customWidth="1"/>
    <col min="3" max="3" width="8.1640625" customWidth="1"/>
    <col min="4" max="4" width="9.33203125" customWidth="1"/>
    <col min="5" max="5" width="7.83203125" customWidth="1"/>
    <col min="6" max="6" width="11.6640625" customWidth="1"/>
    <col min="7" max="7" width="13.6640625" customWidth="1"/>
    <col min="8" max="8" width="7.6640625" customWidth="1"/>
    <col min="9" max="10" width="8.5" customWidth="1"/>
    <col min="11" max="11" width="12.5" customWidth="1"/>
    <col min="12" max="12" width="14.83203125" customWidth="1"/>
    <col min="13" max="13" width="11.6640625" customWidth="1"/>
    <col min="14" max="14" width="6.33203125" customWidth="1"/>
    <col min="15" max="15" width="7.6640625" customWidth="1"/>
    <col min="16" max="16" width="12.1640625" customWidth="1"/>
  </cols>
  <sheetData>
    <row r="1" spans="1:16" x14ac:dyDescent="0.2">
      <c r="A1" s="1" t="s">
        <v>31</v>
      </c>
      <c r="B1" s="14" t="s">
        <v>0</v>
      </c>
      <c r="C1" s="14"/>
      <c r="D1" s="14"/>
      <c r="E1" s="14"/>
      <c r="F1" s="14"/>
      <c r="G1" s="14" t="s">
        <v>1</v>
      </c>
      <c r="H1" s="14"/>
      <c r="I1" s="14"/>
      <c r="J1" s="14"/>
      <c r="K1" s="14"/>
      <c r="L1" s="14" t="s">
        <v>2</v>
      </c>
      <c r="M1" s="14"/>
      <c r="N1" s="14"/>
      <c r="O1" s="14"/>
      <c r="P1" s="14"/>
    </row>
    <row r="2" spans="1:16" s="7" customFormat="1" ht="32" customHeight="1" x14ac:dyDescent="0.2">
      <c r="B2" s="7" t="s">
        <v>7</v>
      </c>
      <c r="C2" s="7" t="s">
        <v>6</v>
      </c>
      <c r="D2" s="7" t="s">
        <v>8</v>
      </c>
      <c r="E2" s="7" t="s">
        <v>11</v>
      </c>
      <c r="F2" s="7" t="s">
        <v>12</v>
      </c>
      <c r="G2" s="7" t="s">
        <v>7</v>
      </c>
      <c r="H2" s="7" t="s">
        <v>6</v>
      </c>
      <c r="I2" s="7" t="s">
        <v>8</v>
      </c>
      <c r="J2" s="7" t="s">
        <v>11</v>
      </c>
      <c r="K2" s="7" t="s">
        <v>12</v>
      </c>
      <c r="L2" s="7" t="s">
        <v>7</v>
      </c>
      <c r="M2" s="7" t="s">
        <v>6</v>
      </c>
      <c r="N2" s="7" t="s">
        <v>8</v>
      </c>
      <c r="O2" s="7" t="s">
        <v>11</v>
      </c>
      <c r="P2" s="7" t="s">
        <v>12</v>
      </c>
    </row>
    <row r="3" spans="1:16" x14ac:dyDescent="0.2">
      <c r="A3" t="s">
        <v>3</v>
      </c>
      <c r="B3" s="2">
        <v>0.55069999999999997</v>
      </c>
      <c r="C3" s="2">
        <v>1E-3</v>
      </c>
      <c r="D3" s="2">
        <v>0.5404525</v>
      </c>
      <c r="E3" s="2">
        <f>SUM(0.007,0.001,0.067,0.494)</f>
        <v>0.56899999999999995</v>
      </c>
      <c r="F3" s="2">
        <f>E3/$E$7</f>
        <v>0.90894568690095834</v>
      </c>
      <c r="G3" s="2">
        <v>0.58689999999999998</v>
      </c>
      <c r="H3" s="2">
        <v>1E-3</v>
      </c>
      <c r="I3" s="2">
        <v>0.57754749999999999</v>
      </c>
      <c r="J3" s="2">
        <f>0.002+0.057+0.475+0.012+0.051</f>
        <v>0.59700000000000009</v>
      </c>
      <c r="K3" s="2">
        <f>J3/$J$7</f>
        <v>0.78968253968253976</v>
      </c>
      <c r="L3" s="2">
        <v>0.1406</v>
      </c>
      <c r="M3" s="2">
        <v>1.2E-2</v>
      </c>
      <c r="N3" s="2">
        <v>0.12101720000000001</v>
      </c>
      <c r="O3">
        <f>SUM(0.003,0.029,0.051,0.052,0.061)</f>
        <v>0.19599999999999998</v>
      </c>
      <c r="P3" s="3">
        <f>O3/$O$7</f>
        <v>0.46666666666666662</v>
      </c>
    </row>
    <row r="4" spans="1:16" x14ac:dyDescent="0.2">
      <c r="A4" t="s">
        <v>4</v>
      </c>
      <c r="B4" s="2">
        <v>0.57099999999999995</v>
      </c>
      <c r="C4" s="2">
        <v>1E-3</v>
      </c>
      <c r="D4" s="2">
        <v>0.56127539999999998</v>
      </c>
      <c r="E4" s="2">
        <f>SUM(0.021,0.002,0.494,0.067,0.001)</f>
        <v>0.58500000000000008</v>
      </c>
      <c r="F4" s="2">
        <f t="shared" ref="F4:F7" si="0">E4/$E$7</f>
        <v>0.93450479233226846</v>
      </c>
      <c r="G4" s="2">
        <v>0.54249999999999998</v>
      </c>
      <c r="H4" s="2">
        <v>1E-3</v>
      </c>
      <c r="I4" s="2">
        <v>0.53211719999999996</v>
      </c>
      <c r="J4" s="2">
        <f>SUM(0.001,0.475,0.051,0.012)</f>
        <v>0.53900000000000003</v>
      </c>
      <c r="K4" s="2">
        <f t="shared" ref="K4:K7" si="1">J4/$J$7</f>
        <v>0.71296296296296302</v>
      </c>
      <c r="L4" s="2">
        <v>9.9669999999999995E-2</v>
      </c>
      <c r="M4" s="2">
        <v>2.3E-2</v>
      </c>
      <c r="N4" s="2">
        <v>7.9205300000000006E-2</v>
      </c>
      <c r="O4">
        <f>SUM(0.072,0.006,0.051,0.052)</f>
        <v>0.18099999999999999</v>
      </c>
      <c r="P4" s="3">
        <f t="shared" ref="P4:P7" si="2">O4/$O$7</f>
        <v>0.43095238095238098</v>
      </c>
    </row>
    <row r="5" spans="1:16" x14ac:dyDescent="0.2">
      <c r="A5" t="s">
        <v>10</v>
      </c>
      <c r="B5" s="2">
        <v>0.5806</v>
      </c>
      <c r="C5" s="2">
        <v>1E-3</v>
      </c>
      <c r="D5" s="2">
        <v>0.57105600000000001</v>
      </c>
      <c r="E5" s="2">
        <f>SUM(0.034+0.002+0.494+0.067)</f>
        <v>0.59699999999999998</v>
      </c>
      <c r="F5" s="2">
        <f t="shared" si="0"/>
        <v>0.95367412140575081</v>
      </c>
      <c r="G5" s="2">
        <v>0.69440000000000002</v>
      </c>
      <c r="H5" s="2">
        <v>1E-3</v>
      </c>
      <c r="I5" s="2">
        <v>0.68750160000000005</v>
      </c>
      <c r="J5" s="2">
        <f>SUM(0.137,0.057,0.001,0.475,0.051)</f>
        <v>0.72099999999999997</v>
      </c>
      <c r="K5" s="2">
        <f t="shared" si="1"/>
        <v>0.95370370370370361</v>
      </c>
      <c r="L5" s="2">
        <v>0.1206</v>
      </c>
      <c r="M5" s="2">
        <v>1.4999999999999999E-2</v>
      </c>
      <c r="N5" s="2">
        <v>0.10058499999999999</v>
      </c>
      <c r="O5">
        <f>SUM(0.001,0.029,0.006,0.051,0.052)</f>
        <v>0.13899999999999998</v>
      </c>
      <c r="P5" s="3">
        <f t="shared" si="2"/>
        <v>0.33095238095238094</v>
      </c>
    </row>
    <row r="6" spans="1:16" x14ac:dyDescent="0.2">
      <c r="A6" t="s">
        <v>5</v>
      </c>
      <c r="B6" s="2">
        <v>0.48430000000000001</v>
      </c>
      <c r="C6" s="2">
        <v>1E-3</v>
      </c>
      <c r="D6" s="2">
        <v>0.47257890000000002</v>
      </c>
      <c r="E6" s="2">
        <f>SUM(0.002,0.494,0.007)</f>
        <v>0.503</v>
      </c>
      <c r="F6" s="2">
        <f t="shared" si="0"/>
        <v>0.80351437699680517</v>
      </c>
      <c r="G6" s="2">
        <v>0.48949999999999999</v>
      </c>
      <c r="H6" s="2">
        <v>1E-3</v>
      </c>
      <c r="I6" s="2">
        <v>0.47785939999999999</v>
      </c>
      <c r="J6" s="2">
        <f>SUM(0.021,0.001,0.475,0.012,0.002)</f>
        <v>0.51100000000000001</v>
      </c>
      <c r="K6" s="2">
        <f t="shared" si="1"/>
        <v>0.67592592592592593</v>
      </c>
      <c r="L6" s="2">
        <v>0.21190000000000001</v>
      </c>
      <c r="M6" s="2">
        <v>4.0000000000000001E-3</v>
      </c>
      <c r="N6" s="2">
        <v>0.1940326</v>
      </c>
      <c r="O6">
        <f>SUM(0.145,0.006,0.029,0.051,0.061)</f>
        <v>0.29199999999999998</v>
      </c>
      <c r="P6" s="3">
        <f t="shared" si="2"/>
        <v>0.69523809523809521</v>
      </c>
    </row>
    <row r="7" spans="1:16" x14ac:dyDescent="0.2">
      <c r="A7" t="s">
        <v>9</v>
      </c>
      <c r="B7" s="2">
        <v>0.61599999999999999</v>
      </c>
      <c r="C7" s="2">
        <v>1E-3</v>
      </c>
      <c r="D7" s="2">
        <v>0.57859119999999997</v>
      </c>
      <c r="E7" s="2">
        <f>0.034+0.007+0.494+0.002+0.021+0.067+0.001</f>
        <v>0.626</v>
      </c>
      <c r="F7" s="2">
        <f t="shared" si="0"/>
        <v>1</v>
      </c>
      <c r="G7" s="2">
        <v>0.73529999999999995</v>
      </c>
      <c r="H7" s="2">
        <v>1E-3</v>
      </c>
      <c r="I7" s="2">
        <v>0.70943129999999999</v>
      </c>
      <c r="J7" s="2">
        <f>SUM(0.137,0.021,0.057,0.001,,0.475,0.002,0.012,0.051)</f>
        <v>0.75600000000000001</v>
      </c>
      <c r="K7" s="2">
        <f t="shared" si="1"/>
        <v>1</v>
      </c>
      <c r="L7" s="2">
        <v>0.35239999999999999</v>
      </c>
      <c r="M7" s="2">
        <v>3.0000000000000001E-3</v>
      </c>
      <c r="N7" s="2">
        <v>0.28924670000000002</v>
      </c>
      <c r="O7">
        <f>SUM(0.003,0.061,0.029,0.051,0.052,0.001,0.006,0.145,0.072)</f>
        <v>0.42</v>
      </c>
      <c r="P7" s="3">
        <f t="shared" si="2"/>
        <v>1</v>
      </c>
    </row>
    <row r="12" spans="1:16" x14ac:dyDescent="0.2">
      <c r="C12" s="14" t="s">
        <v>15</v>
      </c>
      <c r="D12" s="14"/>
      <c r="E12" s="14"/>
      <c r="F12" s="14"/>
      <c r="G12" s="14"/>
      <c r="I12" s="14" t="s">
        <v>26</v>
      </c>
      <c r="J12" s="14"/>
      <c r="K12" s="14"/>
      <c r="L12" s="14"/>
      <c r="M12" s="14"/>
    </row>
    <row r="13" spans="1:16" x14ac:dyDescent="0.2">
      <c r="A13" t="s">
        <v>13</v>
      </c>
      <c r="B13" t="s">
        <v>14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I13" t="s">
        <v>16</v>
      </c>
      <c r="J13" t="s">
        <v>17</v>
      </c>
      <c r="K13" t="s">
        <v>18</v>
      </c>
      <c r="L13" t="s">
        <v>19</v>
      </c>
      <c r="M13" t="s">
        <v>20</v>
      </c>
    </row>
    <row r="14" spans="1:16" ht="34" x14ac:dyDescent="0.2">
      <c r="A14" t="s">
        <v>0</v>
      </c>
      <c r="B14" s="4" t="s">
        <v>21</v>
      </c>
      <c r="C14" s="2">
        <v>0.61599999999999999</v>
      </c>
      <c r="D14" s="2">
        <v>0.55069999999999997</v>
      </c>
      <c r="E14" s="2">
        <v>0.57099999999999995</v>
      </c>
      <c r="F14" s="2">
        <v>0.5806</v>
      </c>
      <c r="G14" s="2">
        <v>0.48430000000000001</v>
      </c>
      <c r="I14" s="5">
        <f t="shared" ref="I14:M16" si="3">ROUND(C14,3-(1+INT(LOG10(ABS(C14)))))</f>
        <v>0.61599999999999999</v>
      </c>
      <c r="J14" s="5">
        <f t="shared" si="3"/>
        <v>0.55100000000000005</v>
      </c>
      <c r="K14" s="5">
        <f t="shared" si="3"/>
        <v>0.57099999999999995</v>
      </c>
      <c r="L14" s="5">
        <f t="shared" si="3"/>
        <v>0.58099999999999996</v>
      </c>
      <c r="M14" s="5">
        <f t="shared" si="3"/>
        <v>0.48399999999999999</v>
      </c>
    </row>
    <row r="15" spans="1:16" ht="17" x14ac:dyDescent="0.2">
      <c r="B15" s="4" t="s">
        <v>22</v>
      </c>
      <c r="C15" s="2">
        <v>1E-3</v>
      </c>
      <c r="D15" s="2">
        <v>1E-3</v>
      </c>
      <c r="E15" s="2">
        <v>1E-3</v>
      </c>
      <c r="F15" s="2">
        <v>1E-3</v>
      </c>
      <c r="G15" s="2">
        <v>1E-3</v>
      </c>
      <c r="I15" s="6">
        <f t="shared" si="3"/>
        <v>1E-3</v>
      </c>
      <c r="J15" s="6">
        <f t="shared" si="3"/>
        <v>1E-3</v>
      </c>
      <c r="K15" s="6">
        <f t="shared" si="3"/>
        <v>1E-3</v>
      </c>
      <c r="L15" s="6">
        <f t="shared" si="3"/>
        <v>1E-3</v>
      </c>
      <c r="M15" s="6">
        <f t="shared" si="3"/>
        <v>1E-3</v>
      </c>
    </row>
    <row r="16" spans="1:16" ht="20" x14ac:dyDescent="0.2">
      <c r="B16" s="4" t="s">
        <v>25</v>
      </c>
      <c r="C16" s="2">
        <v>0.57859119999999997</v>
      </c>
      <c r="D16" s="2">
        <v>0.5404525</v>
      </c>
      <c r="E16" s="2">
        <v>0.56127539999999998</v>
      </c>
      <c r="F16" s="2">
        <v>0.57105600000000001</v>
      </c>
      <c r="G16" s="2">
        <v>0.47257890000000002</v>
      </c>
      <c r="I16" s="5">
        <f t="shared" si="3"/>
        <v>0.57899999999999996</v>
      </c>
      <c r="J16" s="5">
        <f t="shared" si="3"/>
        <v>0.54</v>
      </c>
      <c r="K16" s="5">
        <f t="shared" si="3"/>
        <v>0.56100000000000005</v>
      </c>
      <c r="L16" s="5">
        <f t="shared" si="3"/>
        <v>0.57099999999999995</v>
      </c>
      <c r="M16" s="5">
        <f t="shared" si="3"/>
        <v>0.47299999999999998</v>
      </c>
    </row>
    <row r="17" spans="1:13" ht="17" x14ac:dyDescent="0.2">
      <c r="B17" s="4" t="s">
        <v>24</v>
      </c>
      <c r="C17" s="2"/>
      <c r="D17" s="2">
        <v>0.13600000000000001</v>
      </c>
      <c r="E17" s="2">
        <v>0.158</v>
      </c>
      <c r="F17" s="2">
        <v>0.16900000000000001</v>
      </c>
      <c r="G17" s="2">
        <v>0.115</v>
      </c>
      <c r="I17" s="5"/>
      <c r="J17" s="5">
        <f t="shared" ref="J17:M18" si="4">ROUND(D17,3-(1+INT(LOG10(ABS(D17)))))</f>
        <v>0.13600000000000001</v>
      </c>
      <c r="K17" s="5">
        <f t="shared" si="4"/>
        <v>0.158</v>
      </c>
      <c r="L17" s="5">
        <f t="shared" si="4"/>
        <v>0.16900000000000001</v>
      </c>
      <c r="M17" s="5">
        <f t="shared" si="4"/>
        <v>0.115</v>
      </c>
    </row>
    <row r="18" spans="1:13" ht="17" x14ac:dyDescent="0.2">
      <c r="B18" s="4" t="s">
        <v>23</v>
      </c>
      <c r="D18" s="2">
        <v>1E-3</v>
      </c>
      <c r="E18" s="2">
        <v>1E-3</v>
      </c>
      <c r="F18" s="2">
        <v>1E-3</v>
      </c>
      <c r="G18" s="2">
        <v>1E-3</v>
      </c>
      <c r="I18" s="5"/>
      <c r="J18" s="6">
        <f t="shared" si="4"/>
        <v>1E-3</v>
      </c>
      <c r="K18" s="6">
        <f t="shared" si="4"/>
        <v>1E-3</v>
      </c>
      <c r="L18" s="6">
        <f t="shared" si="4"/>
        <v>1E-3</v>
      </c>
      <c r="M18" s="6">
        <f t="shared" si="4"/>
        <v>1E-3</v>
      </c>
    </row>
    <row r="19" spans="1:13" ht="17" x14ac:dyDescent="0.2">
      <c r="B19" s="4" t="s">
        <v>32</v>
      </c>
      <c r="D19" s="10">
        <v>8.0099999999999995E-6</v>
      </c>
      <c r="E19">
        <v>0.45400000000000001</v>
      </c>
      <c r="F19">
        <v>0.66700000000000004</v>
      </c>
      <c r="G19">
        <v>0.57899999999999996</v>
      </c>
      <c r="I19" s="5"/>
      <c r="J19" s="10">
        <v>8.0099999999999995E-6</v>
      </c>
      <c r="K19">
        <v>0.45400000000000001</v>
      </c>
      <c r="L19">
        <v>0.66700000000000004</v>
      </c>
      <c r="M19">
        <v>0.57899999999999996</v>
      </c>
    </row>
    <row r="20" spans="1:13" s="3" customFormat="1" x14ac:dyDescent="0.2">
      <c r="B20" s="3" t="s">
        <v>28</v>
      </c>
      <c r="I20" s="8"/>
      <c r="J20" s="8">
        <f>SUM(3,1,3,3,1,1)</f>
        <v>12</v>
      </c>
      <c r="K20" s="8">
        <f>SUM(2,1,2,2,1,10)</f>
        <v>18</v>
      </c>
      <c r="L20" s="8">
        <f>SUM(1,1,1,1,1,10)</f>
        <v>15</v>
      </c>
      <c r="M20" s="8">
        <f>SUM(4,1,4,4,1,10)</f>
        <v>24</v>
      </c>
    </row>
    <row r="21" spans="1:13" ht="17" x14ac:dyDescent="0.2">
      <c r="B21" s="4" t="s">
        <v>29</v>
      </c>
      <c r="I21" s="5"/>
      <c r="J21" s="12">
        <v>1</v>
      </c>
      <c r="K21" s="12">
        <v>3</v>
      </c>
      <c r="L21" s="12">
        <v>2</v>
      </c>
      <c r="M21" s="12">
        <v>4</v>
      </c>
    </row>
    <row r="22" spans="1:13" x14ac:dyDescent="0.2">
      <c r="I22" s="5"/>
      <c r="J22" s="5"/>
      <c r="K22" s="5"/>
      <c r="L22" s="5"/>
      <c r="M22" s="5"/>
    </row>
    <row r="23" spans="1:13" ht="34" x14ac:dyDescent="0.2">
      <c r="A23" t="s">
        <v>1</v>
      </c>
      <c r="B23" s="4" t="s">
        <v>21</v>
      </c>
      <c r="C23" s="2">
        <v>0.73529999999999995</v>
      </c>
      <c r="D23" s="2">
        <v>0.58689999999999998</v>
      </c>
      <c r="E23" s="2">
        <v>0.54249999999999998</v>
      </c>
      <c r="F23" s="2">
        <v>0.69440000000000002</v>
      </c>
      <c r="G23" s="2">
        <v>0.48949999999999999</v>
      </c>
      <c r="I23" s="5">
        <f t="shared" ref="I23:M25" si="5">ROUND(C23,3-(1+INT(LOG10(ABS(C23)))))</f>
        <v>0.73499999999999999</v>
      </c>
      <c r="J23" s="5">
        <f t="shared" si="5"/>
        <v>0.58699999999999997</v>
      </c>
      <c r="K23" s="5">
        <f t="shared" si="5"/>
        <v>0.54300000000000004</v>
      </c>
      <c r="L23" s="5">
        <f t="shared" si="5"/>
        <v>0.69399999999999995</v>
      </c>
      <c r="M23" s="5">
        <f t="shared" si="5"/>
        <v>0.49</v>
      </c>
    </row>
    <row r="24" spans="1:13" ht="17" x14ac:dyDescent="0.2">
      <c r="B24" s="4" t="s">
        <v>22</v>
      </c>
      <c r="C24" s="2">
        <v>1E-3</v>
      </c>
      <c r="D24" s="2">
        <v>1E-3</v>
      </c>
      <c r="E24" s="2">
        <v>1E-3</v>
      </c>
      <c r="F24" s="2">
        <v>1E-3</v>
      </c>
      <c r="G24" s="2">
        <v>1E-3</v>
      </c>
      <c r="I24" s="6">
        <f t="shared" si="5"/>
        <v>1E-3</v>
      </c>
      <c r="J24" s="6">
        <f t="shared" si="5"/>
        <v>1E-3</v>
      </c>
      <c r="K24" s="6">
        <f t="shared" si="5"/>
        <v>1E-3</v>
      </c>
      <c r="L24" s="6">
        <f t="shared" si="5"/>
        <v>1E-3</v>
      </c>
      <c r="M24" s="6">
        <f t="shared" si="5"/>
        <v>1E-3</v>
      </c>
    </row>
    <row r="25" spans="1:13" ht="20" x14ac:dyDescent="0.2">
      <c r="B25" s="4" t="s">
        <v>25</v>
      </c>
      <c r="C25" s="2">
        <v>0.70943129999999999</v>
      </c>
      <c r="D25" s="2">
        <v>0.57754749999999999</v>
      </c>
      <c r="E25" s="2">
        <v>0.53211719999999996</v>
      </c>
      <c r="F25" s="2">
        <v>0.68750160000000005</v>
      </c>
      <c r="G25" s="2">
        <v>0.47785939999999999</v>
      </c>
      <c r="I25" s="5">
        <f t="shared" si="5"/>
        <v>0.70899999999999996</v>
      </c>
      <c r="J25" s="5">
        <f t="shared" si="5"/>
        <v>0.57799999999999996</v>
      </c>
      <c r="K25" s="5">
        <f t="shared" si="5"/>
        <v>0.53200000000000003</v>
      </c>
      <c r="L25" s="5">
        <f t="shared" si="5"/>
        <v>0.68799999999999994</v>
      </c>
      <c r="M25" s="5">
        <f t="shared" si="5"/>
        <v>0.47799999999999998</v>
      </c>
    </row>
    <row r="26" spans="1:13" ht="17" x14ac:dyDescent="0.2">
      <c r="B26" s="4" t="s">
        <v>24</v>
      </c>
      <c r="C26" s="2"/>
      <c r="D26" s="2">
        <v>0.158</v>
      </c>
      <c r="E26" s="2">
        <v>0.13300000000000001</v>
      </c>
      <c r="F26" s="2">
        <v>0.28699999999999998</v>
      </c>
      <c r="G26" s="2">
        <v>0.13100000000000001</v>
      </c>
      <c r="I26" s="5"/>
      <c r="J26" s="5">
        <f t="shared" ref="J26:M27" si="6">ROUND(D26,3-(1+INT(LOG10(ABS(D26)))))</f>
        <v>0.158</v>
      </c>
      <c r="K26" s="5">
        <f t="shared" si="6"/>
        <v>0.13300000000000001</v>
      </c>
      <c r="L26" s="5">
        <f t="shared" si="6"/>
        <v>0.28699999999999998</v>
      </c>
      <c r="M26" s="5">
        <f t="shared" si="6"/>
        <v>0.13100000000000001</v>
      </c>
    </row>
    <row r="27" spans="1:13" ht="17" x14ac:dyDescent="0.2">
      <c r="B27" s="4" t="s">
        <v>23</v>
      </c>
      <c r="D27" s="2">
        <v>1E-3</v>
      </c>
      <c r="E27" s="2">
        <v>1E-3</v>
      </c>
      <c r="F27" s="2">
        <v>1E-3</v>
      </c>
      <c r="G27" s="2">
        <v>1E-3</v>
      </c>
      <c r="I27" s="5"/>
      <c r="J27" s="6">
        <f t="shared" si="6"/>
        <v>1E-3</v>
      </c>
      <c r="K27" s="6">
        <f t="shared" si="6"/>
        <v>1E-3</v>
      </c>
      <c r="L27" s="6">
        <f t="shared" si="6"/>
        <v>1E-3</v>
      </c>
      <c r="M27" s="6">
        <f t="shared" si="6"/>
        <v>1E-3</v>
      </c>
    </row>
    <row r="28" spans="1:13" ht="17" x14ac:dyDescent="0.2">
      <c r="B28" s="4" t="s">
        <v>32</v>
      </c>
      <c r="D28" s="1">
        <v>1.9269999999999999E-2</v>
      </c>
      <c r="E28">
        <v>0.41583999999999999</v>
      </c>
      <c r="F28" s="1">
        <v>1.67E-3</v>
      </c>
      <c r="G28">
        <v>0.66320999999999997</v>
      </c>
      <c r="I28" s="5"/>
      <c r="J28" s="11">
        <v>1.9300000000000001E-2</v>
      </c>
      <c r="K28">
        <v>0.41583999999999999</v>
      </c>
      <c r="L28" s="10">
        <v>1.67E-3</v>
      </c>
      <c r="M28" s="2">
        <v>0.66320999999999997</v>
      </c>
    </row>
    <row r="29" spans="1:13" s="3" customFormat="1" x14ac:dyDescent="0.2">
      <c r="B29" s="3" t="s">
        <v>28</v>
      </c>
      <c r="I29" s="8"/>
      <c r="J29" s="8">
        <f>SUM(2,1,2,2,1,1)</f>
        <v>9</v>
      </c>
      <c r="K29" s="8">
        <f>SUM(3,1,3,3,1,10)</f>
        <v>21</v>
      </c>
      <c r="L29" s="8">
        <f>SUM(1,1,1,1,1,1)</f>
        <v>6</v>
      </c>
      <c r="M29" s="8">
        <f>SUM(4,1,4,4,1,10)</f>
        <v>24</v>
      </c>
    </row>
    <row r="30" spans="1:13" ht="17" x14ac:dyDescent="0.2">
      <c r="B30" s="4" t="s">
        <v>29</v>
      </c>
      <c r="I30" s="5"/>
      <c r="J30" s="12">
        <v>2</v>
      </c>
      <c r="K30" s="12">
        <v>3</v>
      </c>
      <c r="L30" s="12">
        <v>1</v>
      </c>
      <c r="M30" s="12">
        <v>4</v>
      </c>
    </row>
    <row r="31" spans="1:13" x14ac:dyDescent="0.2">
      <c r="B31" s="4"/>
      <c r="I31" s="5"/>
      <c r="J31" s="5"/>
      <c r="K31" s="5"/>
      <c r="L31" s="5"/>
      <c r="M31" s="5"/>
    </row>
    <row r="32" spans="1:13" ht="34" x14ac:dyDescent="0.2">
      <c r="A32" t="s">
        <v>37</v>
      </c>
      <c r="B32" s="4" t="s">
        <v>21</v>
      </c>
      <c r="C32" s="2">
        <v>0.35239999999999999</v>
      </c>
      <c r="D32" s="2">
        <v>0.1406</v>
      </c>
      <c r="E32" s="2">
        <v>9.9669999999999995E-2</v>
      </c>
      <c r="F32" s="2">
        <v>0.1206</v>
      </c>
      <c r="G32" s="2">
        <v>0.21190000000000001</v>
      </c>
      <c r="I32" s="5">
        <f t="shared" ref="I32:M34" si="7">ROUND(C32,3-(1+INT(LOG10(ABS(C32)))))</f>
        <v>0.35199999999999998</v>
      </c>
      <c r="J32" s="5">
        <f t="shared" si="7"/>
        <v>0.14099999999999999</v>
      </c>
      <c r="K32" s="5">
        <f t="shared" si="7"/>
        <v>9.9699999999999997E-2</v>
      </c>
      <c r="L32" s="5">
        <f t="shared" si="7"/>
        <v>0.121</v>
      </c>
      <c r="M32" s="5">
        <f t="shared" si="7"/>
        <v>0.21199999999999999</v>
      </c>
    </row>
    <row r="33" spans="2:13" ht="17" x14ac:dyDescent="0.2">
      <c r="B33" s="4" t="s">
        <v>22</v>
      </c>
      <c r="C33" s="2">
        <v>3.0000000000000001E-3</v>
      </c>
      <c r="D33" s="2">
        <v>1.2E-2</v>
      </c>
      <c r="E33" s="2">
        <v>2.3E-2</v>
      </c>
      <c r="F33" s="2">
        <v>1.4999999999999999E-2</v>
      </c>
      <c r="G33" s="2">
        <v>4.0000000000000001E-3</v>
      </c>
      <c r="I33" s="6">
        <f t="shared" si="7"/>
        <v>3.0000000000000001E-3</v>
      </c>
      <c r="J33" s="6">
        <f t="shared" si="7"/>
        <v>1.2E-2</v>
      </c>
      <c r="K33" s="6">
        <f t="shared" si="7"/>
        <v>2.3E-2</v>
      </c>
      <c r="L33" s="6">
        <f t="shared" si="7"/>
        <v>1.4999999999999999E-2</v>
      </c>
      <c r="M33" s="6">
        <f t="shared" si="7"/>
        <v>4.0000000000000001E-3</v>
      </c>
    </row>
    <row r="34" spans="2:13" ht="20" x14ac:dyDescent="0.2">
      <c r="B34" s="4" t="s">
        <v>25</v>
      </c>
      <c r="C34" s="2">
        <v>0.28924670000000002</v>
      </c>
      <c r="D34" s="2">
        <v>0.12101720000000001</v>
      </c>
      <c r="E34" s="2">
        <v>7.9205300000000006E-2</v>
      </c>
      <c r="F34" s="2">
        <v>0.10058499999999999</v>
      </c>
      <c r="G34" s="2">
        <v>0.1940326</v>
      </c>
      <c r="I34" s="5">
        <f t="shared" si="7"/>
        <v>0.28899999999999998</v>
      </c>
      <c r="J34" s="5">
        <f t="shared" si="7"/>
        <v>0.121</v>
      </c>
      <c r="K34" s="5">
        <f t="shared" si="7"/>
        <v>7.9200000000000007E-2</v>
      </c>
      <c r="L34" s="5">
        <f t="shared" si="7"/>
        <v>0.10100000000000001</v>
      </c>
      <c r="M34" s="5">
        <f t="shared" si="7"/>
        <v>0.19400000000000001</v>
      </c>
    </row>
    <row r="35" spans="2:13" ht="17" x14ac:dyDescent="0.2">
      <c r="B35" s="4" t="s">
        <v>24</v>
      </c>
      <c r="C35" s="3"/>
      <c r="D35" s="3">
        <v>4.4400000000000002E-2</v>
      </c>
      <c r="E35" s="3">
        <v>6.1899999999999997E-2</v>
      </c>
      <c r="F35" s="3">
        <v>2.3400000000000001E-2</v>
      </c>
      <c r="G35" s="3">
        <v>0.15959999999999999</v>
      </c>
      <c r="I35" s="5"/>
      <c r="J35" s="6">
        <f t="shared" ref="J35:M36" si="8">ROUND(D35,3-(1+INT(LOG10(ABS(D35)))))</f>
        <v>4.4400000000000002E-2</v>
      </c>
      <c r="K35" s="6">
        <f t="shared" si="8"/>
        <v>6.1899999999999997E-2</v>
      </c>
      <c r="L35" s="6">
        <f t="shared" si="8"/>
        <v>2.3400000000000001E-2</v>
      </c>
      <c r="M35" s="5">
        <f t="shared" si="8"/>
        <v>0.16</v>
      </c>
    </row>
    <row r="36" spans="2:13" ht="17" x14ac:dyDescent="0.2">
      <c r="B36" s="4" t="s">
        <v>23</v>
      </c>
      <c r="D36" s="2">
        <v>8.9999999999999993E-3</v>
      </c>
      <c r="E36" s="2">
        <v>3.5999999999999997E-2</v>
      </c>
      <c r="F36" s="2">
        <v>1.6E-2</v>
      </c>
      <c r="G36" s="2">
        <v>2E-3</v>
      </c>
      <c r="I36" s="5"/>
      <c r="J36" s="6">
        <f t="shared" si="8"/>
        <v>8.9999999999999993E-3</v>
      </c>
      <c r="K36" s="6">
        <f t="shared" si="8"/>
        <v>3.5999999999999997E-2</v>
      </c>
      <c r="L36" s="6">
        <f t="shared" si="8"/>
        <v>1.6E-2</v>
      </c>
      <c r="M36" s="6">
        <f t="shared" si="8"/>
        <v>2E-3</v>
      </c>
    </row>
    <row r="37" spans="2:13" ht="17" x14ac:dyDescent="0.2">
      <c r="B37" s="4" t="s">
        <v>32</v>
      </c>
      <c r="D37" s="1">
        <v>2.5999999999999999E-3</v>
      </c>
      <c r="E37">
        <v>9.1700000000000004E-2</v>
      </c>
      <c r="F37">
        <v>0.60909999999999997</v>
      </c>
      <c r="G37">
        <v>0.87849999999999995</v>
      </c>
      <c r="J37" s="10">
        <v>2.5999999999999999E-3</v>
      </c>
      <c r="K37" s="9">
        <v>9.1700000000000004E-2</v>
      </c>
      <c r="L37" s="2">
        <v>0.60909999999999997</v>
      </c>
      <c r="M37" s="2">
        <v>0.87849999999999995</v>
      </c>
    </row>
    <row r="38" spans="2:13" s="3" customFormat="1" x14ac:dyDescent="0.2">
      <c r="B38" s="3" t="s">
        <v>28</v>
      </c>
      <c r="J38" s="3">
        <f>SUM(2,2,2,2,2,1)</f>
        <v>11</v>
      </c>
      <c r="K38" s="3">
        <f>4+4+4+4+10</f>
        <v>26</v>
      </c>
      <c r="L38" s="3">
        <f>3+3+3+3+3+10</f>
        <v>25</v>
      </c>
      <c r="M38" s="3">
        <f>1+1+1+1+1+10</f>
        <v>15</v>
      </c>
    </row>
    <row r="39" spans="2:13" ht="17" x14ac:dyDescent="0.2">
      <c r="B39" s="4" t="s">
        <v>29</v>
      </c>
      <c r="J39">
        <v>1</v>
      </c>
      <c r="K39">
        <v>4</v>
      </c>
      <c r="L39">
        <v>3</v>
      </c>
      <c r="M39">
        <v>2</v>
      </c>
    </row>
    <row r="40" spans="2:13" x14ac:dyDescent="0.2">
      <c r="B40" s="4"/>
    </row>
    <row r="41" spans="2:13" x14ac:dyDescent="0.2">
      <c r="B41" s="3" t="s">
        <v>30</v>
      </c>
      <c r="J41" s="13">
        <f t="shared" ref="J41:M42" si="9">SUM(J20,J29,J38)</f>
        <v>32</v>
      </c>
      <c r="K41" s="13">
        <f t="shared" si="9"/>
        <v>65</v>
      </c>
      <c r="L41" s="13">
        <f t="shared" si="9"/>
        <v>46</v>
      </c>
      <c r="M41" s="13">
        <f t="shared" si="9"/>
        <v>63</v>
      </c>
    </row>
    <row r="42" spans="2:13" x14ac:dyDescent="0.2">
      <c r="B42" s="3" t="s">
        <v>27</v>
      </c>
      <c r="J42" s="13">
        <f t="shared" si="9"/>
        <v>4</v>
      </c>
      <c r="K42" s="13">
        <f t="shared" si="9"/>
        <v>10</v>
      </c>
      <c r="L42" s="13">
        <f t="shared" si="9"/>
        <v>6</v>
      </c>
      <c r="M42" s="13">
        <f t="shared" si="9"/>
        <v>10</v>
      </c>
    </row>
    <row r="43" spans="2:13" x14ac:dyDescent="0.2">
      <c r="J43">
        <v>2</v>
      </c>
      <c r="K43">
        <v>4</v>
      </c>
      <c r="L43">
        <v>1</v>
      </c>
      <c r="M43">
        <v>3</v>
      </c>
    </row>
    <row r="44" spans="2:13" x14ac:dyDescent="0.2">
      <c r="B44" t="s">
        <v>33</v>
      </c>
      <c r="J44">
        <f>J41*J42</f>
        <v>128</v>
      </c>
      <c r="K44">
        <f t="shared" ref="K44:M44" si="10">K41*K42</f>
        <v>650</v>
      </c>
      <c r="L44">
        <f t="shared" si="10"/>
        <v>276</v>
      </c>
      <c r="M44">
        <f t="shared" si="10"/>
        <v>630</v>
      </c>
    </row>
    <row r="45" spans="2:13" x14ac:dyDescent="0.2">
      <c r="J45">
        <v>1</v>
      </c>
      <c r="K45">
        <v>4</v>
      </c>
      <c r="L45">
        <v>2</v>
      </c>
      <c r="M45">
        <v>3</v>
      </c>
    </row>
  </sheetData>
  <mergeCells count="5">
    <mergeCell ref="C12:G12"/>
    <mergeCell ref="I12:M12"/>
    <mergeCell ref="L1:P1"/>
    <mergeCell ref="G1:K1"/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F702-0847-C242-9A3A-C6E95F230A36}">
  <dimension ref="A1:S47"/>
  <sheetViews>
    <sheetView tabSelected="1" topLeftCell="G1" workbookViewId="0">
      <selection activeCell="Q15" sqref="Q15"/>
    </sheetView>
  </sheetViews>
  <sheetFormatPr baseColWidth="10" defaultRowHeight="16" x14ac:dyDescent="0.2"/>
  <cols>
    <col min="2" max="2" width="23.1640625" customWidth="1"/>
    <col min="14" max="14" width="25.83203125" customWidth="1"/>
    <col min="15" max="15" width="56.6640625" customWidth="1"/>
    <col min="17" max="17" width="13.1640625" customWidth="1"/>
  </cols>
  <sheetData>
    <row r="1" spans="1:19" x14ac:dyDescent="0.2">
      <c r="A1" s="15" t="s">
        <v>34</v>
      </c>
    </row>
    <row r="2" spans="1:19" x14ac:dyDescent="0.2">
      <c r="A2" t="s">
        <v>0</v>
      </c>
      <c r="B2" t="s">
        <v>35</v>
      </c>
      <c r="N2" s="15" t="s">
        <v>92</v>
      </c>
      <c r="O2" s="15" t="s">
        <v>99</v>
      </c>
      <c r="P2" s="15" t="s">
        <v>94</v>
      </c>
    </row>
    <row r="3" spans="1:19" x14ac:dyDescent="0.2">
      <c r="C3" t="s">
        <v>42</v>
      </c>
      <c r="N3" t="s">
        <v>95</v>
      </c>
      <c r="O3" s="16" t="s">
        <v>96</v>
      </c>
      <c r="P3" s="16" t="s">
        <v>42</v>
      </c>
      <c r="Q3" s="16"/>
      <c r="R3" s="16"/>
      <c r="S3" s="16"/>
    </row>
    <row r="4" spans="1:19" x14ac:dyDescent="0.2">
      <c r="A4" t="s">
        <v>1</v>
      </c>
      <c r="B4" t="s">
        <v>36</v>
      </c>
      <c r="O4" s="16" t="s">
        <v>97</v>
      </c>
      <c r="P4" s="16" t="s">
        <v>41</v>
      </c>
      <c r="R4" s="16"/>
      <c r="S4" s="16"/>
    </row>
    <row r="5" spans="1:19" x14ac:dyDescent="0.2">
      <c r="C5" t="s">
        <v>41</v>
      </c>
      <c r="O5" s="16" t="s">
        <v>98</v>
      </c>
      <c r="P5" s="16" t="s">
        <v>40</v>
      </c>
      <c r="R5" s="16"/>
      <c r="S5" s="16"/>
    </row>
    <row r="6" spans="1:19" x14ac:dyDescent="0.2">
      <c r="A6" t="s">
        <v>2</v>
      </c>
      <c r="B6" t="s">
        <v>38</v>
      </c>
    </row>
    <row r="7" spans="1:19" x14ac:dyDescent="0.2">
      <c r="C7" t="s">
        <v>40</v>
      </c>
      <c r="N7" t="s">
        <v>93</v>
      </c>
      <c r="O7" t="s">
        <v>0</v>
      </c>
      <c r="P7" t="s">
        <v>44</v>
      </c>
      <c r="R7" s="16"/>
      <c r="S7" s="16"/>
    </row>
    <row r="8" spans="1:19" x14ac:dyDescent="0.2">
      <c r="B8" t="s">
        <v>39</v>
      </c>
      <c r="O8" t="s">
        <v>46</v>
      </c>
      <c r="P8" t="s">
        <v>48</v>
      </c>
      <c r="R8" s="16"/>
      <c r="S8" s="16"/>
    </row>
    <row r="9" spans="1:19" x14ac:dyDescent="0.2">
      <c r="A9" s="15" t="s">
        <v>43</v>
      </c>
      <c r="O9" t="s">
        <v>47</v>
      </c>
      <c r="P9" t="s">
        <v>49</v>
      </c>
      <c r="R9" s="16"/>
      <c r="S9" s="16"/>
    </row>
    <row r="10" spans="1:19" x14ac:dyDescent="0.2">
      <c r="A10" t="s">
        <v>16</v>
      </c>
      <c r="B10" t="s">
        <v>0</v>
      </c>
      <c r="C10" t="s">
        <v>44</v>
      </c>
      <c r="O10" t="s">
        <v>51</v>
      </c>
      <c r="P10" t="s">
        <v>50</v>
      </c>
    </row>
    <row r="11" spans="1:19" x14ac:dyDescent="0.2">
      <c r="A11" t="s">
        <v>45</v>
      </c>
      <c r="B11" t="s">
        <v>46</v>
      </c>
      <c r="C11" t="s">
        <v>48</v>
      </c>
      <c r="O11" t="s">
        <v>53</v>
      </c>
      <c r="P11" t="s">
        <v>52</v>
      </c>
    </row>
    <row r="12" spans="1:19" x14ac:dyDescent="0.2">
      <c r="B12" t="s">
        <v>47</v>
      </c>
      <c r="C12" t="s">
        <v>49</v>
      </c>
    </row>
    <row r="13" spans="1:19" x14ac:dyDescent="0.2">
      <c r="B13" t="s">
        <v>51</v>
      </c>
      <c r="C13" t="s">
        <v>50</v>
      </c>
      <c r="O13" t="s">
        <v>1</v>
      </c>
      <c r="P13" t="s">
        <v>68</v>
      </c>
    </row>
    <row r="14" spans="1:19" x14ac:dyDescent="0.2">
      <c r="B14" t="s">
        <v>53</v>
      </c>
      <c r="C14" t="s">
        <v>52</v>
      </c>
      <c r="O14" t="s">
        <v>60</v>
      </c>
      <c r="P14" t="s">
        <v>69</v>
      </c>
    </row>
    <row r="15" spans="1:19" x14ac:dyDescent="0.2">
      <c r="O15" t="s">
        <v>61</v>
      </c>
      <c r="P15" t="s">
        <v>70</v>
      </c>
    </row>
    <row r="16" spans="1:19" x14ac:dyDescent="0.2">
      <c r="A16" t="s">
        <v>16</v>
      </c>
      <c r="B16" t="s">
        <v>1</v>
      </c>
      <c r="C16" t="s">
        <v>68</v>
      </c>
      <c r="O16" t="s">
        <v>62</v>
      </c>
      <c r="P16" t="s">
        <v>71</v>
      </c>
    </row>
    <row r="17" spans="1:16" x14ac:dyDescent="0.2">
      <c r="A17" t="s">
        <v>45</v>
      </c>
      <c r="B17" t="s">
        <v>60</v>
      </c>
      <c r="C17" t="s">
        <v>69</v>
      </c>
      <c r="O17" t="s">
        <v>63</v>
      </c>
      <c r="P17" t="s">
        <v>72</v>
      </c>
    </row>
    <row r="18" spans="1:16" x14ac:dyDescent="0.2">
      <c r="B18" t="s">
        <v>61</v>
      </c>
      <c r="C18" t="s">
        <v>70</v>
      </c>
    </row>
    <row r="19" spans="1:16" x14ac:dyDescent="0.2">
      <c r="B19" t="s">
        <v>62</v>
      </c>
      <c r="C19" t="s">
        <v>71</v>
      </c>
      <c r="O19" t="s">
        <v>2</v>
      </c>
      <c r="P19" t="s">
        <v>78</v>
      </c>
    </row>
    <row r="20" spans="1:16" x14ac:dyDescent="0.2">
      <c r="B20" t="s">
        <v>63</v>
      </c>
      <c r="C20" t="s">
        <v>72</v>
      </c>
      <c r="O20" t="s">
        <v>64</v>
      </c>
      <c r="P20" t="s">
        <v>79</v>
      </c>
    </row>
    <row r="21" spans="1:16" x14ac:dyDescent="0.2">
      <c r="O21" t="s">
        <v>65</v>
      </c>
      <c r="P21" t="s">
        <v>80</v>
      </c>
    </row>
    <row r="22" spans="1:16" x14ac:dyDescent="0.2">
      <c r="A22" t="s">
        <v>16</v>
      </c>
      <c r="B22" t="s">
        <v>2</v>
      </c>
      <c r="C22" t="s">
        <v>78</v>
      </c>
      <c r="O22" t="s">
        <v>66</v>
      </c>
      <c r="P22" t="s">
        <v>81</v>
      </c>
    </row>
    <row r="23" spans="1:16" x14ac:dyDescent="0.2">
      <c r="A23" t="s">
        <v>45</v>
      </c>
      <c r="B23" t="s">
        <v>64</v>
      </c>
      <c r="C23" t="s">
        <v>79</v>
      </c>
      <c r="O23" t="s">
        <v>67</v>
      </c>
      <c r="P23" t="s">
        <v>82</v>
      </c>
    </row>
    <row r="24" spans="1:16" x14ac:dyDescent="0.2">
      <c r="B24" t="s">
        <v>65</v>
      </c>
      <c r="C24" t="s">
        <v>80</v>
      </c>
    </row>
    <row r="25" spans="1:16" x14ac:dyDescent="0.2">
      <c r="B25" t="s">
        <v>66</v>
      </c>
      <c r="C25" t="s">
        <v>81</v>
      </c>
      <c r="N25" t="s">
        <v>100</v>
      </c>
      <c r="O25" t="s">
        <v>0</v>
      </c>
      <c r="P25" t="s">
        <v>89</v>
      </c>
    </row>
    <row r="26" spans="1:16" x14ac:dyDescent="0.2">
      <c r="B26" t="s">
        <v>67</v>
      </c>
      <c r="C26" t="s">
        <v>82</v>
      </c>
      <c r="O26" t="s">
        <v>1</v>
      </c>
      <c r="P26" t="s">
        <v>90</v>
      </c>
    </row>
    <row r="27" spans="1:16" x14ac:dyDescent="0.2">
      <c r="O27" t="s">
        <v>2</v>
      </c>
      <c r="P27" t="s">
        <v>91</v>
      </c>
    </row>
    <row r="28" spans="1:16" x14ac:dyDescent="0.2">
      <c r="A28" s="15" t="s">
        <v>59</v>
      </c>
    </row>
    <row r="29" spans="1:16" x14ac:dyDescent="0.2">
      <c r="A29" t="s">
        <v>16</v>
      </c>
      <c r="B29" t="s">
        <v>0</v>
      </c>
      <c r="C29" t="s">
        <v>54</v>
      </c>
    </row>
    <row r="30" spans="1:16" x14ac:dyDescent="0.2">
      <c r="A30" t="s">
        <v>45</v>
      </c>
      <c r="B30" t="s">
        <v>46</v>
      </c>
      <c r="C30" t="s">
        <v>55</v>
      </c>
    </row>
    <row r="31" spans="1:16" x14ac:dyDescent="0.2">
      <c r="B31" t="s">
        <v>51</v>
      </c>
      <c r="C31" t="s">
        <v>56</v>
      </c>
    </row>
    <row r="32" spans="1:16" x14ac:dyDescent="0.2">
      <c r="B32" t="s">
        <v>53</v>
      </c>
      <c r="C32" t="s">
        <v>57</v>
      </c>
    </row>
    <row r="33" spans="1:3" x14ac:dyDescent="0.2">
      <c r="B33" t="s">
        <v>47</v>
      </c>
      <c r="C33" t="s">
        <v>58</v>
      </c>
    </row>
    <row r="35" spans="1:3" x14ac:dyDescent="0.2">
      <c r="A35" t="s">
        <v>16</v>
      </c>
      <c r="B35" t="s">
        <v>1</v>
      </c>
      <c r="C35" t="s">
        <v>73</v>
      </c>
    </row>
    <row r="36" spans="1:3" x14ac:dyDescent="0.2">
      <c r="A36" t="s">
        <v>45</v>
      </c>
      <c r="B36" t="s">
        <v>60</v>
      </c>
      <c r="C36" t="s">
        <v>74</v>
      </c>
    </row>
    <row r="37" spans="1:3" x14ac:dyDescent="0.2">
      <c r="B37" t="s">
        <v>61</v>
      </c>
      <c r="C37" t="s">
        <v>77</v>
      </c>
    </row>
    <row r="38" spans="1:3" x14ac:dyDescent="0.2">
      <c r="B38" t="s">
        <v>62</v>
      </c>
      <c r="C38" t="s">
        <v>75</v>
      </c>
    </row>
    <row r="39" spans="1:3" x14ac:dyDescent="0.2">
      <c r="B39" t="s">
        <v>63</v>
      </c>
      <c r="C39" t="s">
        <v>76</v>
      </c>
    </row>
    <row r="41" spans="1:3" x14ac:dyDescent="0.2">
      <c r="A41" t="s">
        <v>16</v>
      </c>
      <c r="B41" t="s">
        <v>2</v>
      </c>
      <c r="C41" t="s">
        <v>83</v>
      </c>
    </row>
    <row r="42" spans="1:3" x14ac:dyDescent="0.2">
      <c r="A42" t="s">
        <v>45</v>
      </c>
      <c r="B42" t="s">
        <v>64</v>
      </c>
      <c r="C42" t="s">
        <v>84</v>
      </c>
    </row>
    <row r="43" spans="1:3" x14ac:dyDescent="0.2">
      <c r="B43" t="s">
        <v>65</v>
      </c>
      <c r="C43" t="s">
        <v>87</v>
      </c>
    </row>
    <row r="44" spans="1:3" x14ac:dyDescent="0.2">
      <c r="B44" t="s">
        <v>66</v>
      </c>
      <c r="C44" t="s">
        <v>85</v>
      </c>
    </row>
    <row r="45" spans="1:3" x14ac:dyDescent="0.2">
      <c r="B45" t="s">
        <v>67</v>
      </c>
      <c r="C45" t="s">
        <v>86</v>
      </c>
    </row>
    <row r="47" spans="1:3" x14ac:dyDescent="0.2">
      <c r="A47" s="1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 Paulus</dc:creator>
  <cp:lastModifiedBy>Lizzie Paulus</cp:lastModifiedBy>
  <dcterms:created xsi:type="dcterms:W3CDTF">2025-01-19T03:38:26Z</dcterms:created>
  <dcterms:modified xsi:type="dcterms:W3CDTF">2026-03-10T21:09:09Z</dcterms:modified>
</cp:coreProperties>
</file>