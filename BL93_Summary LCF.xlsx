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paulus/Library/Mobile Documents/com~apple~CloudDocs/Stanford/PhD/PhD Lab/Projects/Thesis_Hawaii/Kohala Gradient/Data/XANES/"/>
    </mc:Choice>
  </mc:AlternateContent>
  <xr:revisionPtr revIDLastSave="0" documentId="13_ncr:1_{33720C92-2E3B-C34A-AE2C-1BD01FFDB0E5}" xr6:coauthVersionLast="47" xr6:coauthVersionMax="47" xr10:uidLastSave="{00000000-0000-0000-0000-000000000000}"/>
  <bookViews>
    <workbookView xWindow="660" yWindow="760" windowWidth="23320" windowHeight="18880" activeTab="1" xr2:uid="{C32D40DF-9D96-4A2B-B004-DF9E9FAAC051}"/>
  </bookViews>
  <sheets>
    <sheet name="soil_all" sheetId="1" r:id="rId1"/>
    <sheet name="soil_23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66" i="1" l="1"/>
  <c r="AG66" i="1"/>
  <c r="AI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Lizzie Paulus</author>
  </authors>
  <commentList>
    <comment ref="G3" authorId="0" shapeId="0" xr:uid="{5332483F-7AFC-DD47-8D92-619EC16556A6}">
      <text>
        <r>
          <rPr>
            <b/>
            <sz val="10"/>
            <color rgb="FF000000"/>
            <rFont val="Tahoma"/>
            <family val="2"/>
          </rPr>
          <t>Lizzie Paulus: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outlier excluded from trendine</t>
        </r>
      </text>
    </comment>
  </commentList>
</comments>
</file>

<file path=xl/sharedStrings.xml><?xml version="1.0" encoding="utf-8"?>
<sst xmlns="http://schemas.openxmlformats.org/spreadsheetml/2006/main" count="121" uniqueCount="52">
  <si>
    <t>MAP</t>
  </si>
  <si>
    <t>Puanui Site</t>
  </si>
  <si>
    <t>Mn2+</t>
  </si>
  <si>
    <t>Mn2+/3+</t>
  </si>
  <si>
    <t>Mn3+</t>
  </si>
  <si>
    <t>Mn3+/4+</t>
  </si>
  <si>
    <t>Mn4+</t>
  </si>
  <si>
    <t>Date</t>
  </si>
  <si>
    <t>P02 dry</t>
  </si>
  <si>
    <t>P02 wet</t>
  </si>
  <si>
    <t>P10 dry</t>
  </si>
  <si>
    <t>P10 wet</t>
  </si>
  <si>
    <t>P23 dry</t>
  </si>
  <si>
    <t>P23 wet</t>
  </si>
  <si>
    <t>P32 dry</t>
  </si>
  <si>
    <t>P32 wet</t>
  </si>
  <si>
    <t>P44 dry</t>
  </si>
  <si>
    <t>P44 wet</t>
  </si>
  <si>
    <t>Site</t>
  </si>
  <si>
    <t>P01</t>
  </si>
  <si>
    <t>P04</t>
  </si>
  <si>
    <t>P05</t>
  </si>
  <si>
    <t>P07</t>
  </si>
  <si>
    <t>P08</t>
  </si>
  <si>
    <t>P10</t>
  </si>
  <si>
    <t>P12</t>
  </si>
  <si>
    <t>P13</t>
  </si>
  <si>
    <t>P14</t>
  </si>
  <si>
    <t>P16</t>
  </si>
  <si>
    <t>P17</t>
  </si>
  <si>
    <t>P19</t>
  </si>
  <si>
    <t>P20</t>
  </si>
  <si>
    <t>P22</t>
  </si>
  <si>
    <t>P25</t>
  </si>
  <si>
    <t>P26</t>
  </si>
  <si>
    <t>P28</t>
  </si>
  <si>
    <t>P29</t>
  </si>
  <si>
    <t>P31</t>
  </si>
  <si>
    <t>P34</t>
  </si>
  <si>
    <t>P35</t>
  </si>
  <si>
    <t>P37</t>
  </si>
  <si>
    <t>P38</t>
  </si>
  <si>
    <t>P40</t>
  </si>
  <si>
    <t>P41</t>
  </si>
  <si>
    <t>P43</t>
  </si>
  <si>
    <t>P46</t>
  </si>
  <si>
    <t>Mn(II)</t>
  </si>
  <si>
    <t>Mn(III)</t>
  </si>
  <si>
    <t>Mn(IV)</t>
  </si>
  <si>
    <t>Mn(II/III)</t>
  </si>
  <si>
    <t>Mn(III/IV)</t>
  </si>
  <si>
    <t>XANES BL93 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</si>
</sst>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4" fillId="0" borderId="0" xfId="0" applyFont="1"/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D6C4AD"/>
      <color rgb="FFF4DFC6"/>
      <color rgb="FF4C5855"/>
      <color rgb="FFFA7D9B"/>
      <color rgb="FFC47B7C"/>
      <color rgb="FFFFE5CC"/>
      <color rgb="FF141716"/>
      <color rgb="FFDC6E88"/>
      <color rgb="FFF8A0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soil_all!$AE$1</c:f>
              <c:strCache>
                <c:ptCount val="1"/>
                <c:pt idx="0">
                  <c:v>Mn2+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soil_all!$AC$2:$AC$32</c:f>
              <c:numCache>
                <c:formatCode>0</c:formatCode>
                <c:ptCount val="31"/>
                <c:pt idx="0">
                  <c:v>3237.9897460900002</c:v>
                </c:pt>
                <c:pt idx="1">
                  <c:v>3123.3532714799999</c:v>
                </c:pt>
                <c:pt idx="2">
                  <c:v>2916.2229003900002</c:v>
                </c:pt>
                <c:pt idx="3">
                  <c:v>2818.2167968799999</c:v>
                </c:pt>
                <c:pt idx="4">
                  <c:v>2585.2856445299999</c:v>
                </c:pt>
                <c:pt idx="5">
                  <c:v>2429.2712402299999</c:v>
                </c:pt>
                <c:pt idx="6">
                  <c:v>2238.2409668</c:v>
                </c:pt>
                <c:pt idx="7">
                  <c:v>2162.6936035200001</c:v>
                </c:pt>
                <c:pt idx="8">
                  <c:v>2122.2141113299999</c:v>
                </c:pt>
                <c:pt idx="9">
                  <c:v>2035.1241455100001</c:v>
                </c:pt>
                <c:pt idx="10">
                  <c:v>1807.7528076200001</c:v>
                </c:pt>
                <c:pt idx="11">
                  <c:v>1759.0534668</c:v>
                </c:pt>
                <c:pt idx="12">
                  <c:v>1577.5518798799999</c:v>
                </c:pt>
                <c:pt idx="13">
                  <c:v>1526.9757080100001</c:v>
                </c:pt>
                <c:pt idx="14">
                  <c:v>1340.0395507799999</c:v>
                </c:pt>
                <c:pt idx="15">
                  <c:v>1289.3337402300001</c:v>
                </c:pt>
                <c:pt idx="16">
                  <c:v>1159.1307373</c:v>
                </c:pt>
                <c:pt idx="17">
                  <c:v>1113.4626464800001</c:v>
                </c:pt>
                <c:pt idx="18">
                  <c:v>954.46228027300003</c:v>
                </c:pt>
                <c:pt idx="19">
                  <c:v>915.71697998000002</c:v>
                </c:pt>
                <c:pt idx="20">
                  <c:v>821.85357666000004</c:v>
                </c:pt>
                <c:pt idx="21">
                  <c:v>995.80053710899995</c:v>
                </c:pt>
                <c:pt idx="22">
                  <c:v>915.71697998000002</c:v>
                </c:pt>
                <c:pt idx="23">
                  <c:v>887.72674560500002</c:v>
                </c:pt>
                <c:pt idx="24">
                  <c:v>506.78582763700001</c:v>
                </c:pt>
                <c:pt idx="25">
                  <c:v>459.41976928700001</c:v>
                </c:pt>
                <c:pt idx="26">
                  <c:v>396.48348999000001</c:v>
                </c:pt>
                <c:pt idx="27">
                  <c:v>377.78582763700001</c:v>
                </c:pt>
                <c:pt idx="28">
                  <c:v>316</c:v>
                </c:pt>
                <c:pt idx="29">
                  <c:v>303.63504028300002</c:v>
                </c:pt>
                <c:pt idx="30">
                  <c:v>294.68939209000001</c:v>
                </c:pt>
              </c:numCache>
            </c:numRef>
          </c:cat>
          <c:val>
            <c:numRef>
              <c:f>soil_all!$AE$2:$AE$32</c:f>
              <c:numCache>
                <c:formatCode>0.00</c:formatCode>
                <c:ptCount val="31"/>
                <c:pt idx="0">
                  <c:v>57.8</c:v>
                </c:pt>
                <c:pt idx="1">
                  <c:v>9</c:v>
                </c:pt>
                <c:pt idx="2">
                  <c:v>41.199999999999996</c:v>
                </c:pt>
                <c:pt idx="3">
                  <c:v>38.700000000000003</c:v>
                </c:pt>
                <c:pt idx="4">
                  <c:v>37</c:v>
                </c:pt>
                <c:pt idx="5">
                  <c:v>18.7</c:v>
                </c:pt>
                <c:pt idx="10">
                  <c:v>26.8</c:v>
                </c:pt>
                <c:pt idx="11">
                  <c:v>22.8</c:v>
                </c:pt>
                <c:pt idx="12">
                  <c:v>54.1</c:v>
                </c:pt>
                <c:pt idx="14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2-4BEC-8E46-1A1E57EB8393}"/>
            </c:ext>
          </c:extLst>
        </c:ser>
        <c:ser>
          <c:idx val="2"/>
          <c:order val="1"/>
          <c:tx>
            <c:strRef>
              <c:f>soil_all!$AF$1</c:f>
              <c:strCache>
                <c:ptCount val="1"/>
                <c:pt idx="0">
                  <c:v>Mn2+/3+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soil_all!$AC$2:$AC$32</c:f>
              <c:numCache>
                <c:formatCode>0</c:formatCode>
                <c:ptCount val="31"/>
                <c:pt idx="0">
                  <c:v>3237.9897460900002</c:v>
                </c:pt>
                <c:pt idx="1">
                  <c:v>3123.3532714799999</c:v>
                </c:pt>
                <c:pt idx="2">
                  <c:v>2916.2229003900002</c:v>
                </c:pt>
                <c:pt idx="3">
                  <c:v>2818.2167968799999</c:v>
                </c:pt>
                <c:pt idx="4">
                  <c:v>2585.2856445299999</c:v>
                </c:pt>
                <c:pt idx="5">
                  <c:v>2429.2712402299999</c:v>
                </c:pt>
                <c:pt idx="6">
                  <c:v>2238.2409668</c:v>
                </c:pt>
                <c:pt idx="7">
                  <c:v>2162.6936035200001</c:v>
                </c:pt>
                <c:pt idx="8">
                  <c:v>2122.2141113299999</c:v>
                </c:pt>
                <c:pt idx="9">
                  <c:v>2035.1241455100001</c:v>
                </c:pt>
                <c:pt idx="10">
                  <c:v>1807.7528076200001</c:v>
                </c:pt>
                <c:pt idx="11">
                  <c:v>1759.0534668</c:v>
                </c:pt>
                <c:pt idx="12">
                  <c:v>1577.5518798799999</c:v>
                </c:pt>
                <c:pt idx="13">
                  <c:v>1526.9757080100001</c:v>
                </c:pt>
                <c:pt idx="14">
                  <c:v>1340.0395507799999</c:v>
                </c:pt>
                <c:pt idx="15">
                  <c:v>1289.3337402300001</c:v>
                </c:pt>
                <c:pt idx="16">
                  <c:v>1159.1307373</c:v>
                </c:pt>
                <c:pt idx="17">
                  <c:v>1113.4626464800001</c:v>
                </c:pt>
                <c:pt idx="18">
                  <c:v>954.46228027300003</c:v>
                </c:pt>
                <c:pt idx="19">
                  <c:v>915.71697998000002</c:v>
                </c:pt>
                <c:pt idx="20">
                  <c:v>821.85357666000004</c:v>
                </c:pt>
                <c:pt idx="21">
                  <c:v>995.80053710899995</c:v>
                </c:pt>
                <c:pt idx="22">
                  <c:v>915.71697998000002</c:v>
                </c:pt>
                <c:pt idx="23">
                  <c:v>887.72674560500002</c:v>
                </c:pt>
                <c:pt idx="24">
                  <c:v>506.78582763700001</c:v>
                </c:pt>
                <c:pt idx="25">
                  <c:v>459.41976928700001</c:v>
                </c:pt>
                <c:pt idx="26">
                  <c:v>396.48348999000001</c:v>
                </c:pt>
                <c:pt idx="27">
                  <c:v>377.78582763700001</c:v>
                </c:pt>
                <c:pt idx="28">
                  <c:v>316</c:v>
                </c:pt>
                <c:pt idx="29">
                  <c:v>303.63504028300002</c:v>
                </c:pt>
                <c:pt idx="30">
                  <c:v>294.68939209000001</c:v>
                </c:pt>
              </c:numCache>
            </c:numRef>
          </c:cat>
          <c:val>
            <c:numRef>
              <c:f>soil_all!$AF$2:$AF$32</c:f>
              <c:numCache>
                <c:formatCode>0.00</c:formatCode>
                <c:ptCount val="31"/>
                <c:pt idx="0">
                  <c:v>42.199999999999996</c:v>
                </c:pt>
                <c:pt idx="1">
                  <c:v>23.5</c:v>
                </c:pt>
                <c:pt idx="2">
                  <c:v>58.8</c:v>
                </c:pt>
                <c:pt idx="3">
                  <c:v>61.3</c:v>
                </c:pt>
                <c:pt idx="4">
                  <c:v>63</c:v>
                </c:pt>
                <c:pt idx="5">
                  <c:v>50.4</c:v>
                </c:pt>
                <c:pt idx="6">
                  <c:v>67.600000000000009</c:v>
                </c:pt>
                <c:pt idx="7">
                  <c:v>18.3</c:v>
                </c:pt>
                <c:pt idx="8">
                  <c:v>43.443443443443449</c:v>
                </c:pt>
                <c:pt idx="9">
                  <c:v>32.5</c:v>
                </c:pt>
                <c:pt idx="10">
                  <c:v>1.7000000000000002</c:v>
                </c:pt>
                <c:pt idx="12">
                  <c:v>22.8</c:v>
                </c:pt>
                <c:pt idx="13">
                  <c:v>21.8</c:v>
                </c:pt>
                <c:pt idx="14">
                  <c:v>19.600000000000001</c:v>
                </c:pt>
                <c:pt idx="15">
                  <c:v>35.299999999999997</c:v>
                </c:pt>
                <c:pt idx="16">
                  <c:v>56.7</c:v>
                </c:pt>
                <c:pt idx="17">
                  <c:v>14.099999999999998</c:v>
                </c:pt>
                <c:pt idx="18">
                  <c:v>14.299999999999999</c:v>
                </c:pt>
                <c:pt idx="19">
                  <c:v>22</c:v>
                </c:pt>
                <c:pt idx="20">
                  <c:v>37.837837837837839</c:v>
                </c:pt>
                <c:pt idx="21">
                  <c:v>46.046046046046044</c:v>
                </c:pt>
                <c:pt idx="22">
                  <c:v>57.557557557557551</c:v>
                </c:pt>
                <c:pt idx="23">
                  <c:v>33.900000000000006</c:v>
                </c:pt>
                <c:pt idx="24">
                  <c:v>41.6</c:v>
                </c:pt>
                <c:pt idx="25">
                  <c:v>50.350350350350347</c:v>
                </c:pt>
                <c:pt idx="26">
                  <c:v>36.9</c:v>
                </c:pt>
                <c:pt idx="27">
                  <c:v>43.6</c:v>
                </c:pt>
                <c:pt idx="28">
                  <c:v>45.9</c:v>
                </c:pt>
                <c:pt idx="29">
                  <c:v>37.9</c:v>
                </c:pt>
                <c:pt idx="30">
                  <c:v>26.1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A2-4BEC-8E46-1A1E57EB8393}"/>
            </c:ext>
          </c:extLst>
        </c:ser>
        <c:ser>
          <c:idx val="3"/>
          <c:order val="2"/>
          <c:tx>
            <c:strRef>
              <c:f>soil_all!$AG$1</c:f>
              <c:strCache>
                <c:ptCount val="1"/>
                <c:pt idx="0">
                  <c:v>Mn3+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soil_all!$AC$2:$AC$32</c:f>
              <c:numCache>
                <c:formatCode>0</c:formatCode>
                <c:ptCount val="31"/>
                <c:pt idx="0">
                  <c:v>3237.9897460900002</c:v>
                </c:pt>
                <c:pt idx="1">
                  <c:v>3123.3532714799999</c:v>
                </c:pt>
                <c:pt idx="2">
                  <c:v>2916.2229003900002</c:v>
                </c:pt>
                <c:pt idx="3">
                  <c:v>2818.2167968799999</c:v>
                </c:pt>
                <c:pt idx="4">
                  <c:v>2585.2856445299999</c:v>
                </c:pt>
                <c:pt idx="5">
                  <c:v>2429.2712402299999</c:v>
                </c:pt>
                <c:pt idx="6">
                  <c:v>2238.2409668</c:v>
                </c:pt>
                <c:pt idx="7">
                  <c:v>2162.6936035200001</c:v>
                </c:pt>
                <c:pt idx="8">
                  <c:v>2122.2141113299999</c:v>
                </c:pt>
                <c:pt idx="9">
                  <c:v>2035.1241455100001</c:v>
                </c:pt>
                <c:pt idx="10">
                  <c:v>1807.7528076200001</c:v>
                </c:pt>
                <c:pt idx="11">
                  <c:v>1759.0534668</c:v>
                </c:pt>
                <c:pt idx="12">
                  <c:v>1577.5518798799999</c:v>
                </c:pt>
                <c:pt idx="13">
                  <c:v>1526.9757080100001</c:v>
                </c:pt>
                <c:pt idx="14">
                  <c:v>1340.0395507799999</c:v>
                </c:pt>
                <c:pt idx="15">
                  <c:v>1289.3337402300001</c:v>
                </c:pt>
                <c:pt idx="16">
                  <c:v>1159.1307373</c:v>
                </c:pt>
                <c:pt idx="17">
                  <c:v>1113.4626464800001</c:v>
                </c:pt>
                <c:pt idx="18">
                  <c:v>954.46228027300003</c:v>
                </c:pt>
                <c:pt idx="19">
                  <c:v>915.71697998000002</c:v>
                </c:pt>
                <c:pt idx="20">
                  <c:v>821.85357666000004</c:v>
                </c:pt>
                <c:pt idx="21">
                  <c:v>995.80053710899995</c:v>
                </c:pt>
                <c:pt idx="22">
                  <c:v>915.71697998000002</c:v>
                </c:pt>
                <c:pt idx="23">
                  <c:v>887.72674560500002</c:v>
                </c:pt>
                <c:pt idx="24">
                  <c:v>506.78582763700001</c:v>
                </c:pt>
                <c:pt idx="25">
                  <c:v>459.41976928700001</c:v>
                </c:pt>
                <c:pt idx="26">
                  <c:v>396.48348999000001</c:v>
                </c:pt>
                <c:pt idx="27">
                  <c:v>377.78582763700001</c:v>
                </c:pt>
                <c:pt idx="28">
                  <c:v>316</c:v>
                </c:pt>
                <c:pt idx="29">
                  <c:v>303.63504028300002</c:v>
                </c:pt>
                <c:pt idx="30">
                  <c:v>294.68939209000001</c:v>
                </c:pt>
              </c:numCache>
            </c:numRef>
          </c:cat>
          <c:val>
            <c:numRef>
              <c:f>soil_all!$AG$2:$AG$32</c:f>
              <c:numCache>
                <c:formatCode>0.00</c:formatCode>
                <c:ptCount val="31"/>
                <c:pt idx="6">
                  <c:v>9.3000000000000007</c:v>
                </c:pt>
                <c:pt idx="7">
                  <c:v>37.200000000000003</c:v>
                </c:pt>
                <c:pt idx="8">
                  <c:v>23.823823823823826</c:v>
                </c:pt>
                <c:pt idx="16">
                  <c:v>22.300000000000004</c:v>
                </c:pt>
                <c:pt idx="21">
                  <c:v>24.324324324324323</c:v>
                </c:pt>
                <c:pt idx="24">
                  <c:v>25.4</c:v>
                </c:pt>
                <c:pt idx="25">
                  <c:v>16.716716716716714</c:v>
                </c:pt>
                <c:pt idx="26">
                  <c:v>28.799999999999997</c:v>
                </c:pt>
                <c:pt idx="27">
                  <c:v>26.3</c:v>
                </c:pt>
                <c:pt idx="29">
                  <c:v>23</c:v>
                </c:pt>
                <c:pt idx="30">
                  <c:v>36.299999999999997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A2-4BEC-8E46-1A1E57EB8393}"/>
            </c:ext>
          </c:extLst>
        </c:ser>
        <c:ser>
          <c:idx val="4"/>
          <c:order val="3"/>
          <c:tx>
            <c:strRef>
              <c:f>soil_all!$AH$1</c:f>
              <c:strCache>
                <c:ptCount val="1"/>
                <c:pt idx="0">
                  <c:v>Mn3+/4+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soil_all!$AC$2:$AC$32</c:f>
              <c:numCache>
                <c:formatCode>0</c:formatCode>
                <c:ptCount val="31"/>
                <c:pt idx="0">
                  <c:v>3237.9897460900002</c:v>
                </c:pt>
                <c:pt idx="1">
                  <c:v>3123.3532714799999</c:v>
                </c:pt>
                <c:pt idx="2">
                  <c:v>2916.2229003900002</c:v>
                </c:pt>
                <c:pt idx="3">
                  <c:v>2818.2167968799999</c:v>
                </c:pt>
                <c:pt idx="4">
                  <c:v>2585.2856445299999</c:v>
                </c:pt>
                <c:pt idx="5">
                  <c:v>2429.2712402299999</c:v>
                </c:pt>
                <c:pt idx="6">
                  <c:v>2238.2409668</c:v>
                </c:pt>
                <c:pt idx="7">
                  <c:v>2162.6936035200001</c:v>
                </c:pt>
                <c:pt idx="8">
                  <c:v>2122.2141113299999</c:v>
                </c:pt>
                <c:pt idx="9">
                  <c:v>2035.1241455100001</c:v>
                </c:pt>
                <c:pt idx="10">
                  <c:v>1807.7528076200001</c:v>
                </c:pt>
                <c:pt idx="11">
                  <c:v>1759.0534668</c:v>
                </c:pt>
                <c:pt idx="12">
                  <c:v>1577.5518798799999</c:v>
                </c:pt>
                <c:pt idx="13">
                  <c:v>1526.9757080100001</c:v>
                </c:pt>
                <c:pt idx="14">
                  <c:v>1340.0395507799999</c:v>
                </c:pt>
                <c:pt idx="15">
                  <c:v>1289.3337402300001</c:v>
                </c:pt>
                <c:pt idx="16">
                  <c:v>1159.1307373</c:v>
                </c:pt>
                <c:pt idx="17">
                  <c:v>1113.4626464800001</c:v>
                </c:pt>
                <c:pt idx="18">
                  <c:v>954.46228027300003</c:v>
                </c:pt>
                <c:pt idx="19">
                  <c:v>915.71697998000002</c:v>
                </c:pt>
                <c:pt idx="20">
                  <c:v>821.85357666000004</c:v>
                </c:pt>
                <c:pt idx="21">
                  <c:v>995.80053710899995</c:v>
                </c:pt>
                <c:pt idx="22">
                  <c:v>915.71697998000002</c:v>
                </c:pt>
                <c:pt idx="23">
                  <c:v>887.72674560500002</c:v>
                </c:pt>
                <c:pt idx="24">
                  <c:v>506.78582763700001</c:v>
                </c:pt>
                <c:pt idx="25">
                  <c:v>459.41976928700001</c:v>
                </c:pt>
                <c:pt idx="26">
                  <c:v>396.48348999000001</c:v>
                </c:pt>
                <c:pt idx="27">
                  <c:v>377.78582763700001</c:v>
                </c:pt>
                <c:pt idx="28">
                  <c:v>316</c:v>
                </c:pt>
                <c:pt idx="29">
                  <c:v>303.63504028300002</c:v>
                </c:pt>
                <c:pt idx="30">
                  <c:v>294.68939209000001</c:v>
                </c:pt>
              </c:numCache>
            </c:numRef>
          </c:cat>
          <c:val>
            <c:numRef>
              <c:f>soil_all!$AH$2:$AH$32</c:f>
              <c:numCache>
                <c:formatCode>0.00</c:formatCode>
                <c:ptCount val="31"/>
                <c:pt idx="1">
                  <c:v>67.5</c:v>
                </c:pt>
                <c:pt idx="5">
                  <c:v>30.9</c:v>
                </c:pt>
                <c:pt idx="6">
                  <c:v>23.1</c:v>
                </c:pt>
                <c:pt idx="7">
                  <c:v>44.5</c:v>
                </c:pt>
                <c:pt idx="8">
                  <c:v>32.732732732732742</c:v>
                </c:pt>
                <c:pt idx="9">
                  <c:v>39.4</c:v>
                </c:pt>
                <c:pt idx="10">
                  <c:v>71.5</c:v>
                </c:pt>
                <c:pt idx="11">
                  <c:v>51.5</c:v>
                </c:pt>
                <c:pt idx="13">
                  <c:v>51.800000000000004</c:v>
                </c:pt>
                <c:pt idx="14">
                  <c:v>48.199999999999996</c:v>
                </c:pt>
                <c:pt idx="15">
                  <c:v>64.7</c:v>
                </c:pt>
                <c:pt idx="16">
                  <c:v>21.000000000000004</c:v>
                </c:pt>
                <c:pt idx="17">
                  <c:v>58.5</c:v>
                </c:pt>
                <c:pt idx="18">
                  <c:v>65.7</c:v>
                </c:pt>
                <c:pt idx="19">
                  <c:v>57.199999999999996</c:v>
                </c:pt>
                <c:pt idx="20">
                  <c:v>35.035035035035037</c:v>
                </c:pt>
                <c:pt idx="21">
                  <c:v>29.629629629629626</c:v>
                </c:pt>
                <c:pt idx="22">
                  <c:v>16.216216216216218</c:v>
                </c:pt>
                <c:pt idx="23">
                  <c:v>37.4</c:v>
                </c:pt>
                <c:pt idx="25">
                  <c:v>32.932932932932928</c:v>
                </c:pt>
                <c:pt idx="27">
                  <c:v>30.099999999999998</c:v>
                </c:pt>
                <c:pt idx="28">
                  <c:v>29.5</c:v>
                </c:pt>
                <c:pt idx="29">
                  <c:v>39.1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A2-4BEC-8E46-1A1E57EB8393}"/>
            </c:ext>
          </c:extLst>
        </c:ser>
        <c:ser>
          <c:idx val="5"/>
          <c:order val="4"/>
          <c:tx>
            <c:strRef>
              <c:f>soil_all!$AI$1</c:f>
              <c:strCache>
                <c:ptCount val="1"/>
                <c:pt idx="0">
                  <c:v>Mn4+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soil_all!$AC$2:$AC$32</c:f>
              <c:numCache>
                <c:formatCode>0</c:formatCode>
                <c:ptCount val="31"/>
                <c:pt idx="0">
                  <c:v>3237.9897460900002</c:v>
                </c:pt>
                <c:pt idx="1">
                  <c:v>3123.3532714799999</c:v>
                </c:pt>
                <c:pt idx="2">
                  <c:v>2916.2229003900002</c:v>
                </c:pt>
                <c:pt idx="3">
                  <c:v>2818.2167968799999</c:v>
                </c:pt>
                <c:pt idx="4">
                  <c:v>2585.2856445299999</c:v>
                </c:pt>
                <c:pt idx="5">
                  <c:v>2429.2712402299999</c:v>
                </c:pt>
                <c:pt idx="6">
                  <c:v>2238.2409668</c:v>
                </c:pt>
                <c:pt idx="7">
                  <c:v>2162.6936035200001</c:v>
                </c:pt>
                <c:pt idx="8">
                  <c:v>2122.2141113299999</c:v>
                </c:pt>
                <c:pt idx="9">
                  <c:v>2035.1241455100001</c:v>
                </c:pt>
                <c:pt idx="10">
                  <c:v>1807.7528076200001</c:v>
                </c:pt>
                <c:pt idx="11">
                  <c:v>1759.0534668</c:v>
                </c:pt>
                <c:pt idx="12">
                  <c:v>1577.5518798799999</c:v>
                </c:pt>
                <c:pt idx="13">
                  <c:v>1526.9757080100001</c:v>
                </c:pt>
                <c:pt idx="14">
                  <c:v>1340.0395507799999</c:v>
                </c:pt>
                <c:pt idx="15">
                  <c:v>1289.3337402300001</c:v>
                </c:pt>
                <c:pt idx="16">
                  <c:v>1159.1307373</c:v>
                </c:pt>
                <c:pt idx="17">
                  <c:v>1113.4626464800001</c:v>
                </c:pt>
                <c:pt idx="18">
                  <c:v>954.46228027300003</c:v>
                </c:pt>
                <c:pt idx="19">
                  <c:v>915.71697998000002</c:v>
                </c:pt>
                <c:pt idx="20">
                  <c:v>821.85357666000004</c:v>
                </c:pt>
                <c:pt idx="21">
                  <c:v>995.80053710899995</c:v>
                </c:pt>
                <c:pt idx="22">
                  <c:v>915.71697998000002</c:v>
                </c:pt>
                <c:pt idx="23">
                  <c:v>887.72674560500002</c:v>
                </c:pt>
                <c:pt idx="24">
                  <c:v>506.78582763700001</c:v>
                </c:pt>
                <c:pt idx="25">
                  <c:v>459.41976928700001</c:v>
                </c:pt>
                <c:pt idx="26">
                  <c:v>396.48348999000001</c:v>
                </c:pt>
                <c:pt idx="27">
                  <c:v>377.78582763700001</c:v>
                </c:pt>
                <c:pt idx="28">
                  <c:v>316</c:v>
                </c:pt>
                <c:pt idx="29">
                  <c:v>303.63504028300002</c:v>
                </c:pt>
                <c:pt idx="30">
                  <c:v>294.68939209000001</c:v>
                </c:pt>
              </c:numCache>
            </c:numRef>
          </c:cat>
          <c:val>
            <c:numRef>
              <c:f>soil_all!$AI$2:$AI$32</c:f>
              <c:numCache>
                <c:formatCode>0.00</c:formatCode>
                <c:ptCount val="31"/>
                <c:pt idx="9">
                  <c:v>28.1</c:v>
                </c:pt>
                <c:pt idx="11">
                  <c:v>25.7</c:v>
                </c:pt>
                <c:pt idx="12">
                  <c:v>23.1</c:v>
                </c:pt>
                <c:pt idx="13">
                  <c:v>26.400000000000002</c:v>
                </c:pt>
                <c:pt idx="17">
                  <c:v>27.400000000000002</c:v>
                </c:pt>
                <c:pt idx="18">
                  <c:v>20</c:v>
                </c:pt>
                <c:pt idx="19">
                  <c:v>20.8</c:v>
                </c:pt>
                <c:pt idx="20">
                  <c:v>27.127127127127125</c:v>
                </c:pt>
                <c:pt idx="22">
                  <c:v>26.226226226226228</c:v>
                </c:pt>
                <c:pt idx="23">
                  <c:v>28.7</c:v>
                </c:pt>
                <c:pt idx="24">
                  <c:v>33</c:v>
                </c:pt>
                <c:pt idx="26">
                  <c:v>34.300000000000004</c:v>
                </c:pt>
                <c:pt idx="28">
                  <c:v>24.6</c:v>
                </c:pt>
                <c:pt idx="30">
                  <c:v>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A2-4BEC-8E46-1A1E57EB8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26858184"/>
        <c:axId val="226853592"/>
      </c:barChart>
      <c:catAx>
        <c:axId val="226858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853592"/>
        <c:crosses val="autoZero"/>
        <c:auto val="1"/>
        <c:lblAlgn val="ctr"/>
        <c:lblOffset val="100"/>
        <c:noMultiLvlLbl val="0"/>
      </c:catAx>
      <c:valAx>
        <c:axId val="226853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Mn Composition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85818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soil_all!$AE$34</c:f>
              <c:strCache>
                <c:ptCount val="1"/>
                <c:pt idx="0">
                  <c:v>Mn(II)</c:v>
                </c:pt>
              </c:strCache>
            </c:strRef>
          </c:tx>
          <c:spPr>
            <a:solidFill>
              <a:srgbClr val="FA7D9B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soil_all!$AC$35:$AC$65</c:f>
              <c:numCache>
                <c:formatCode>0</c:formatCode>
                <c:ptCount val="31"/>
                <c:pt idx="0">
                  <c:v>294.68939209000001</c:v>
                </c:pt>
                <c:pt idx="1">
                  <c:v>303.63504028300002</c:v>
                </c:pt>
                <c:pt idx="2">
                  <c:v>316</c:v>
                </c:pt>
                <c:pt idx="3">
                  <c:v>377.78582763700001</c:v>
                </c:pt>
                <c:pt idx="4">
                  <c:v>396.48348999000001</c:v>
                </c:pt>
                <c:pt idx="5">
                  <c:v>459.41976928700001</c:v>
                </c:pt>
                <c:pt idx="6">
                  <c:v>506.78582763700001</c:v>
                </c:pt>
                <c:pt idx="7">
                  <c:v>887.72674560500002</c:v>
                </c:pt>
                <c:pt idx="8">
                  <c:v>915.71697998000002</c:v>
                </c:pt>
                <c:pt idx="9">
                  <c:v>995.80053710899995</c:v>
                </c:pt>
                <c:pt idx="10">
                  <c:v>821.85357666000004</c:v>
                </c:pt>
                <c:pt idx="11">
                  <c:v>915.71697998000002</c:v>
                </c:pt>
                <c:pt idx="12">
                  <c:v>954.46228027300003</c:v>
                </c:pt>
                <c:pt idx="13">
                  <c:v>1113.4626464800001</c:v>
                </c:pt>
                <c:pt idx="14">
                  <c:v>1159.1307373</c:v>
                </c:pt>
                <c:pt idx="15">
                  <c:v>1289.3337402300001</c:v>
                </c:pt>
                <c:pt idx="16">
                  <c:v>1340.0395507799999</c:v>
                </c:pt>
                <c:pt idx="17">
                  <c:v>1526.9757080100001</c:v>
                </c:pt>
                <c:pt idx="18">
                  <c:v>1577.5518798799999</c:v>
                </c:pt>
                <c:pt idx="19">
                  <c:v>1759.0534668</c:v>
                </c:pt>
                <c:pt idx="20">
                  <c:v>1807.7528076200001</c:v>
                </c:pt>
                <c:pt idx="21">
                  <c:v>2035.1241455100001</c:v>
                </c:pt>
                <c:pt idx="22">
                  <c:v>2122.2141113299999</c:v>
                </c:pt>
                <c:pt idx="23">
                  <c:v>2162.6936035200001</c:v>
                </c:pt>
                <c:pt idx="24">
                  <c:v>2238.2409668</c:v>
                </c:pt>
                <c:pt idx="25">
                  <c:v>2429.2712402299999</c:v>
                </c:pt>
                <c:pt idx="26">
                  <c:v>2585.2856445299999</c:v>
                </c:pt>
                <c:pt idx="27">
                  <c:v>2818.2167968799999</c:v>
                </c:pt>
                <c:pt idx="28">
                  <c:v>2916.2229003900002</c:v>
                </c:pt>
                <c:pt idx="29">
                  <c:v>3123.3532714799999</c:v>
                </c:pt>
                <c:pt idx="30">
                  <c:v>3237.9897460900002</c:v>
                </c:pt>
              </c:numCache>
            </c:numRef>
          </c:cat>
          <c:val>
            <c:numRef>
              <c:f>soil_all!$AE$35:$AE$65</c:f>
              <c:numCache>
                <c:formatCode>0.00</c:formatCode>
                <c:ptCount val="31"/>
                <c:pt idx="16">
                  <c:v>32.200000000000003</c:v>
                </c:pt>
                <c:pt idx="18">
                  <c:v>54.1</c:v>
                </c:pt>
                <c:pt idx="19">
                  <c:v>22.8</c:v>
                </c:pt>
                <c:pt idx="20">
                  <c:v>26.8</c:v>
                </c:pt>
                <c:pt idx="25">
                  <c:v>18.7</c:v>
                </c:pt>
                <c:pt idx="26">
                  <c:v>37</c:v>
                </c:pt>
                <c:pt idx="27">
                  <c:v>38.700000000000003</c:v>
                </c:pt>
                <c:pt idx="28">
                  <c:v>41.199999999999996</c:v>
                </c:pt>
                <c:pt idx="29">
                  <c:v>9</c:v>
                </c:pt>
                <c:pt idx="30">
                  <c:v>57.8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6-974A-A97C-ADBF029012D8}"/>
            </c:ext>
          </c:extLst>
        </c:ser>
        <c:ser>
          <c:idx val="2"/>
          <c:order val="1"/>
          <c:tx>
            <c:strRef>
              <c:f>soil_all!$AF$34</c:f>
              <c:strCache>
                <c:ptCount val="1"/>
                <c:pt idx="0">
                  <c:v>Mn(II/III)</c:v>
                </c:pt>
              </c:strCache>
            </c:strRef>
          </c:tx>
          <c:spPr>
            <a:solidFill>
              <a:srgbClr val="C47B7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soil_all!$AC$35:$AC$65</c:f>
              <c:numCache>
                <c:formatCode>0</c:formatCode>
                <c:ptCount val="31"/>
                <c:pt idx="0">
                  <c:v>294.68939209000001</c:v>
                </c:pt>
                <c:pt idx="1">
                  <c:v>303.63504028300002</c:v>
                </c:pt>
                <c:pt idx="2">
                  <c:v>316</c:v>
                </c:pt>
                <c:pt idx="3">
                  <c:v>377.78582763700001</c:v>
                </c:pt>
                <c:pt idx="4">
                  <c:v>396.48348999000001</c:v>
                </c:pt>
                <c:pt idx="5">
                  <c:v>459.41976928700001</c:v>
                </c:pt>
                <c:pt idx="6">
                  <c:v>506.78582763700001</c:v>
                </c:pt>
                <c:pt idx="7">
                  <c:v>887.72674560500002</c:v>
                </c:pt>
                <c:pt idx="8">
                  <c:v>915.71697998000002</c:v>
                </c:pt>
                <c:pt idx="9">
                  <c:v>995.80053710899995</c:v>
                </c:pt>
                <c:pt idx="10">
                  <c:v>821.85357666000004</c:v>
                </c:pt>
                <c:pt idx="11">
                  <c:v>915.71697998000002</c:v>
                </c:pt>
                <c:pt idx="12">
                  <c:v>954.46228027300003</c:v>
                </c:pt>
                <c:pt idx="13">
                  <c:v>1113.4626464800001</c:v>
                </c:pt>
                <c:pt idx="14">
                  <c:v>1159.1307373</c:v>
                </c:pt>
                <c:pt idx="15">
                  <c:v>1289.3337402300001</c:v>
                </c:pt>
                <c:pt idx="16">
                  <c:v>1340.0395507799999</c:v>
                </c:pt>
                <c:pt idx="17">
                  <c:v>1526.9757080100001</c:v>
                </c:pt>
                <c:pt idx="18">
                  <c:v>1577.5518798799999</c:v>
                </c:pt>
                <c:pt idx="19">
                  <c:v>1759.0534668</c:v>
                </c:pt>
                <c:pt idx="20">
                  <c:v>1807.7528076200001</c:v>
                </c:pt>
                <c:pt idx="21">
                  <c:v>2035.1241455100001</c:v>
                </c:pt>
                <c:pt idx="22">
                  <c:v>2122.2141113299999</c:v>
                </c:pt>
                <c:pt idx="23">
                  <c:v>2162.6936035200001</c:v>
                </c:pt>
                <c:pt idx="24">
                  <c:v>2238.2409668</c:v>
                </c:pt>
                <c:pt idx="25">
                  <c:v>2429.2712402299999</c:v>
                </c:pt>
                <c:pt idx="26">
                  <c:v>2585.2856445299999</c:v>
                </c:pt>
                <c:pt idx="27">
                  <c:v>2818.2167968799999</c:v>
                </c:pt>
                <c:pt idx="28">
                  <c:v>2916.2229003900002</c:v>
                </c:pt>
                <c:pt idx="29">
                  <c:v>3123.3532714799999</c:v>
                </c:pt>
                <c:pt idx="30">
                  <c:v>3237.9897460900002</c:v>
                </c:pt>
              </c:numCache>
            </c:numRef>
          </c:cat>
          <c:val>
            <c:numRef>
              <c:f>soil_all!$AF$35:$AF$65</c:f>
              <c:numCache>
                <c:formatCode>0.00</c:formatCode>
                <c:ptCount val="31"/>
                <c:pt idx="0">
                  <c:v>26.1</c:v>
                </c:pt>
                <c:pt idx="1">
                  <c:v>37.9</c:v>
                </c:pt>
                <c:pt idx="2">
                  <c:v>45.9</c:v>
                </c:pt>
                <c:pt idx="3">
                  <c:v>43.6</c:v>
                </c:pt>
                <c:pt idx="4">
                  <c:v>36.9</c:v>
                </c:pt>
                <c:pt idx="5">
                  <c:v>50.350350350350347</c:v>
                </c:pt>
                <c:pt idx="6">
                  <c:v>41.6</c:v>
                </c:pt>
                <c:pt idx="7">
                  <c:v>33.900000000000006</c:v>
                </c:pt>
                <c:pt idx="8">
                  <c:v>57.557557557557551</c:v>
                </c:pt>
                <c:pt idx="9">
                  <c:v>46.046046046046044</c:v>
                </c:pt>
                <c:pt idx="10">
                  <c:v>37.837837837837839</c:v>
                </c:pt>
                <c:pt idx="11">
                  <c:v>22</c:v>
                </c:pt>
                <c:pt idx="12">
                  <c:v>14.299999999999999</c:v>
                </c:pt>
                <c:pt idx="13">
                  <c:v>14.099999999999998</c:v>
                </c:pt>
                <c:pt idx="14">
                  <c:v>56.7</c:v>
                </c:pt>
                <c:pt idx="15">
                  <c:v>35.299999999999997</c:v>
                </c:pt>
                <c:pt idx="16">
                  <c:v>19.600000000000001</c:v>
                </c:pt>
                <c:pt idx="17">
                  <c:v>21.8</c:v>
                </c:pt>
                <c:pt idx="18">
                  <c:v>22.8</c:v>
                </c:pt>
                <c:pt idx="20">
                  <c:v>1.7000000000000002</c:v>
                </c:pt>
                <c:pt idx="21">
                  <c:v>32.5</c:v>
                </c:pt>
                <c:pt idx="22">
                  <c:v>43.443443443443449</c:v>
                </c:pt>
                <c:pt idx="23">
                  <c:v>18.3</c:v>
                </c:pt>
                <c:pt idx="24">
                  <c:v>67.600000000000009</c:v>
                </c:pt>
                <c:pt idx="25">
                  <c:v>50.4</c:v>
                </c:pt>
                <c:pt idx="26">
                  <c:v>63</c:v>
                </c:pt>
                <c:pt idx="27">
                  <c:v>61.3</c:v>
                </c:pt>
                <c:pt idx="28">
                  <c:v>58.8</c:v>
                </c:pt>
                <c:pt idx="29">
                  <c:v>23.5</c:v>
                </c:pt>
                <c:pt idx="30">
                  <c:v>42.199999999999996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6-974A-A97C-ADBF029012D8}"/>
            </c:ext>
          </c:extLst>
        </c:ser>
        <c:ser>
          <c:idx val="3"/>
          <c:order val="2"/>
          <c:tx>
            <c:strRef>
              <c:f>soil_all!$AG$34</c:f>
              <c:strCache>
                <c:ptCount val="1"/>
                <c:pt idx="0">
                  <c:v>Mn(III)</c:v>
                </c:pt>
              </c:strCache>
            </c:strRef>
          </c:tx>
          <c:spPr>
            <a:solidFill>
              <a:srgbClr val="FFE5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soil_all!$AC$35:$AC$65</c:f>
              <c:numCache>
                <c:formatCode>0</c:formatCode>
                <c:ptCount val="31"/>
                <c:pt idx="0">
                  <c:v>294.68939209000001</c:v>
                </c:pt>
                <c:pt idx="1">
                  <c:v>303.63504028300002</c:v>
                </c:pt>
                <c:pt idx="2">
                  <c:v>316</c:v>
                </c:pt>
                <c:pt idx="3">
                  <c:v>377.78582763700001</c:v>
                </c:pt>
                <c:pt idx="4">
                  <c:v>396.48348999000001</c:v>
                </c:pt>
                <c:pt idx="5">
                  <c:v>459.41976928700001</c:v>
                </c:pt>
                <c:pt idx="6">
                  <c:v>506.78582763700001</c:v>
                </c:pt>
                <c:pt idx="7">
                  <c:v>887.72674560500002</c:v>
                </c:pt>
                <c:pt idx="8">
                  <c:v>915.71697998000002</c:v>
                </c:pt>
                <c:pt idx="9">
                  <c:v>995.80053710899995</c:v>
                </c:pt>
                <c:pt idx="10">
                  <c:v>821.85357666000004</c:v>
                </c:pt>
                <c:pt idx="11">
                  <c:v>915.71697998000002</c:v>
                </c:pt>
                <c:pt idx="12">
                  <c:v>954.46228027300003</c:v>
                </c:pt>
                <c:pt idx="13">
                  <c:v>1113.4626464800001</c:v>
                </c:pt>
                <c:pt idx="14">
                  <c:v>1159.1307373</c:v>
                </c:pt>
                <c:pt idx="15">
                  <c:v>1289.3337402300001</c:v>
                </c:pt>
                <c:pt idx="16">
                  <c:v>1340.0395507799999</c:v>
                </c:pt>
                <c:pt idx="17">
                  <c:v>1526.9757080100001</c:v>
                </c:pt>
                <c:pt idx="18">
                  <c:v>1577.5518798799999</c:v>
                </c:pt>
                <c:pt idx="19">
                  <c:v>1759.0534668</c:v>
                </c:pt>
                <c:pt idx="20">
                  <c:v>1807.7528076200001</c:v>
                </c:pt>
                <c:pt idx="21">
                  <c:v>2035.1241455100001</c:v>
                </c:pt>
                <c:pt idx="22">
                  <c:v>2122.2141113299999</c:v>
                </c:pt>
                <c:pt idx="23">
                  <c:v>2162.6936035200001</c:v>
                </c:pt>
                <c:pt idx="24">
                  <c:v>2238.2409668</c:v>
                </c:pt>
                <c:pt idx="25">
                  <c:v>2429.2712402299999</c:v>
                </c:pt>
                <c:pt idx="26">
                  <c:v>2585.2856445299999</c:v>
                </c:pt>
                <c:pt idx="27">
                  <c:v>2818.2167968799999</c:v>
                </c:pt>
                <c:pt idx="28">
                  <c:v>2916.2229003900002</c:v>
                </c:pt>
                <c:pt idx="29">
                  <c:v>3123.3532714799999</c:v>
                </c:pt>
                <c:pt idx="30">
                  <c:v>3237.9897460900002</c:v>
                </c:pt>
              </c:numCache>
            </c:numRef>
          </c:cat>
          <c:val>
            <c:numRef>
              <c:f>soil_all!$AG$35:$AG$65</c:f>
              <c:numCache>
                <c:formatCode>0.00</c:formatCode>
                <c:ptCount val="31"/>
                <c:pt idx="0">
                  <c:v>36.299999999999997</c:v>
                </c:pt>
                <c:pt idx="1">
                  <c:v>23</c:v>
                </c:pt>
                <c:pt idx="3">
                  <c:v>26.3</c:v>
                </c:pt>
                <c:pt idx="4">
                  <c:v>28.799999999999997</c:v>
                </c:pt>
                <c:pt idx="5">
                  <c:v>16.716716716716714</c:v>
                </c:pt>
                <c:pt idx="6">
                  <c:v>25.4</c:v>
                </c:pt>
                <c:pt idx="9">
                  <c:v>24.324324324324323</c:v>
                </c:pt>
                <c:pt idx="14">
                  <c:v>22.300000000000004</c:v>
                </c:pt>
                <c:pt idx="22">
                  <c:v>23.823823823823826</c:v>
                </c:pt>
                <c:pt idx="23">
                  <c:v>37.200000000000003</c:v>
                </c:pt>
                <c:pt idx="24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46-974A-A97C-ADBF029012D8}"/>
            </c:ext>
          </c:extLst>
        </c:ser>
        <c:ser>
          <c:idx val="4"/>
          <c:order val="3"/>
          <c:tx>
            <c:strRef>
              <c:f>soil_all!$AH$34</c:f>
              <c:strCache>
                <c:ptCount val="1"/>
                <c:pt idx="0">
                  <c:v>Mn(III/IV)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soil_all!$AC$35:$AC$65</c:f>
              <c:numCache>
                <c:formatCode>0</c:formatCode>
                <c:ptCount val="31"/>
                <c:pt idx="0">
                  <c:v>294.68939209000001</c:v>
                </c:pt>
                <c:pt idx="1">
                  <c:v>303.63504028300002</c:v>
                </c:pt>
                <c:pt idx="2">
                  <c:v>316</c:v>
                </c:pt>
                <c:pt idx="3">
                  <c:v>377.78582763700001</c:v>
                </c:pt>
                <c:pt idx="4">
                  <c:v>396.48348999000001</c:v>
                </c:pt>
                <c:pt idx="5">
                  <c:v>459.41976928700001</c:v>
                </c:pt>
                <c:pt idx="6">
                  <c:v>506.78582763700001</c:v>
                </c:pt>
                <c:pt idx="7">
                  <c:v>887.72674560500002</c:v>
                </c:pt>
                <c:pt idx="8">
                  <c:v>915.71697998000002</c:v>
                </c:pt>
                <c:pt idx="9">
                  <c:v>995.80053710899995</c:v>
                </c:pt>
                <c:pt idx="10">
                  <c:v>821.85357666000004</c:v>
                </c:pt>
                <c:pt idx="11">
                  <c:v>915.71697998000002</c:v>
                </c:pt>
                <c:pt idx="12">
                  <c:v>954.46228027300003</c:v>
                </c:pt>
                <c:pt idx="13">
                  <c:v>1113.4626464800001</c:v>
                </c:pt>
                <c:pt idx="14">
                  <c:v>1159.1307373</c:v>
                </c:pt>
                <c:pt idx="15">
                  <c:v>1289.3337402300001</c:v>
                </c:pt>
                <c:pt idx="16">
                  <c:v>1340.0395507799999</c:v>
                </c:pt>
                <c:pt idx="17">
                  <c:v>1526.9757080100001</c:v>
                </c:pt>
                <c:pt idx="18">
                  <c:v>1577.5518798799999</c:v>
                </c:pt>
                <c:pt idx="19">
                  <c:v>1759.0534668</c:v>
                </c:pt>
                <c:pt idx="20">
                  <c:v>1807.7528076200001</c:v>
                </c:pt>
                <c:pt idx="21">
                  <c:v>2035.1241455100001</c:v>
                </c:pt>
                <c:pt idx="22">
                  <c:v>2122.2141113299999</c:v>
                </c:pt>
                <c:pt idx="23">
                  <c:v>2162.6936035200001</c:v>
                </c:pt>
                <c:pt idx="24">
                  <c:v>2238.2409668</c:v>
                </c:pt>
                <c:pt idx="25">
                  <c:v>2429.2712402299999</c:v>
                </c:pt>
                <c:pt idx="26">
                  <c:v>2585.2856445299999</c:v>
                </c:pt>
                <c:pt idx="27">
                  <c:v>2818.2167968799999</c:v>
                </c:pt>
                <c:pt idx="28">
                  <c:v>2916.2229003900002</c:v>
                </c:pt>
                <c:pt idx="29">
                  <c:v>3123.3532714799999</c:v>
                </c:pt>
                <c:pt idx="30">
                  <c:v>3237.9897460900002</c:v>
                </c:pt>
              </c:numCache>
            </c:numRef>
          </c:cat>
          <c:val>
            <c:numRef>
              <c:f>soil_all!$AH$35:$AH$65</c:f>
              <c:numCache>
                <c:formatCode>0.00</c:formatCode>
                <c:ptCount val="31"/>
                <c:pt idx="1">
                  <c:v>39.1</c:v>
                </c:pt>
                <c:pt idx="2">
                  <c:v>29.5</c:v>
                </c:pt>
                <c:pt idx="3">
                  <c:v>30.099999999999998</c:v>
                </c:pt>
                <c:pt idx="5">
                  <c:v>32.932932932932928</c:v>
                </c:pt>
                <c:pt idx="7">
                  <c:v>37.4</c:v>
                </c:pt>
                <c:pt idx="8">
                  <c:v>16.216216216216218</c:v>
                </c:pt>
                <c:pt idx="9">
                  <c:v>29.629629629629626</c:v>
                </c:pt>
                <c:pt idx="10">
                  <c:v>35.035035035035037</c:v>
                </c:pt>
                <c:pt idx="11">
                  <c:v>57.199999999999996</c:v>
                </c:pt>
                <c:pt idx="12">
                  <c:v>65.7</c:v>
                </c:pt>
                <c:pt idx="13">
                  <c:v>58.5</c:v>
                </c:pt>
                <c:pt idx="14">
                  <c:v>21.000000000000004</c:v>
                </c:pt>
                <c:pt idx="15">
                  <c:v>64.7</c:v>
                </c:pt>
                <c:pt idx="16">
                  <c:v>48.199999999999996</c:v>
                </c:pt>
                <c:pt idx="17">
                  <c:v>51.800000000000004</c:v>
                </c:pt>
                <c:pt idx="19">
                  <c:v>51.5</c:v>
                </c:pt>
                <c:pt idx="20">
                  <c:v>71.5</c:v>
                </c:pt>
                <c:pt idx="21">
                  <c:v>39.4</c:v>
                </c:pt>
                <c:pt idx="22">
                  <c:v>32.732732732732742</c:v>
                </c:pt>
                <c:pt idx="23">
                  <c:v>44.5</c:v>
                </c:pt>
                <c:pt idx="24">
                  <c:v>23.1</c:v>
                </c:pt>
                <c:pt idx="25">
                  <c:v>30.9</c:v>
                </c:pt>
                <c:pt idx="29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46-974A-A97C-ADBF029012D8}"/>
            </c:ext>
          </c:extLst>
        </c:ser>
        <c:ser>
          <c:idx val="5"/>
          <c:order val="4"/>
          <c:tx>
            <c:strRef>
              <c:f>soil_all!$AI$34</c:f>
              <c:strCache>
                <c:ptCount val="1"/>
                <c:pt idx="0">
                  <c:v>Mn(IV)</c:v>
                </c:pt>
              </c:strCache>
            </c:strRef>
          </c:tx>
          <c:spPr>
            <a:solidFill>
              <a:srgbClr val="4C585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soil_all!$AC$35:$AC$65</c:f>
              <c:numCache>
                <c:formatCode>0</c:formatCode>
                <c:ptCount val="31"/>
                <c:pt idx="0">
                  <c:v>294.68939209000001</c:v>
                </c:pt>
                <c:pt idx="1">
                  <c:v>303.63504028300002</c:v>
                </c:pt>
                <c:pt idx="2">
                  <c:v>316</c:v>
                </c:pt>
                <c:pt idx="3">
                  <c:v>377.78582763700001</c:v>
                </c:pt>
                <c:pt idx="4">
                  <c:v>396.48348999000001</c:v>
                </c:pt>
                <c:pt idx="5">
                  <c:v>459.41976928700001</c:v>
                </c:pt>
                <c:pt idx="6">
                  <c:v>506.78582763700001</c:v>
                </c:pt>
                <c:pt idx="7">
                  <c:v>887.72674560500002</c:v>
                </c:pt>
                <c:pt idx="8">
                  <c:v>915.71697998000002</c:v>
                </c:pt>
                <c:pt idx="9">
                  <c:v>995.80053710899995</c:v>
                </c:pt>
                <c:pt idx="10">
                  <c:v>821.85357666000004</c:v>
                </c:pt>
                <c:pt idx="11">
                  <c:v>915.71697998000002</c:v>
                </c:pt>
                <c:pt idx="12">
                  <c:v>954.46228027300003</c:v>
                </c:pt>
                <c:pt idx="13">
                  <c:v>1113.4626464800001</c:v>
                </c:pt>
                <c:pt idx="14">
                  <c:v>1159.1307373</c:v>
                </c:pt>
                <c:pt idx="15">
                  <c:v>1289.3337402300001</c:v>
                </c:pt>
                <c:pt idx="16">
                  <c:v>1340.0395507799999</c:v>
                </c:pt>
                <c:pt idx="17">
                  <c:v>1526.9757080100001</c:v>
                </c:pt>
                <c:pt idx="18">
                  <c:v>1577.5518798799999</c:v>
                </c:pt>
                <c:pt idx="19">
                  <c:v>1759.0534668</c:v>
                </c:pt>
                <c:pt idx="20">
                  <c:v>1807.7528076200001</c:v>
                </c:pt>
                <c:pt idx="21">
                  <c:v>2035.1241455100001</c:v>
                </c:pt>
                <c:pt idx="22">
                  <c:v>2122.2141113299999</c:v>
                </c:pt>
                <c:pt idx="23">
                  <c:v>2162.6936035200001</c:v>
                </c:pt>
                <c:pt idx="24">
                  <c:v>2238.2409668</c:v>
                </c:pt>
                <c:pt idx="25">
                  <c:v>2429.2712402299999</c:v>
                </c:pt>
                <c:pt idx="26">
                  <c:v>2585.2856445299999</c:v>
                </c:pt>
                <c:pt idx="27">
                  <c:v>2818.2167968799999</c:v>
                </c:pt>
                <c:pt idx="28">
                  <c:v>2916.2229003900002</c:v>
                </c:pt>
                <c:pt idx="29">
                  <c:v>3123.3532714799999</c:v>
                </c:pt>
                <c:pt idx="30">
                  <c:v>3237.9897460900002</c:v>
                </c:pt>
              </c:numCache>
            </c:numRef>
          </c:cat>
          <c:val>
            <c:numRef>
              <c:f>soil_all!$AI$35:$AI$65</c:f>
              <c:numCache>
                <c:formatCode>0.00</c:formatCode>
                <c:ptCount val="31"/>
                <c:pt idx="0">
                  <c:v>37.6</c:v>
                </c:pt>
                <c:pt idx="2">
                  <c:v>24.6</c:v>
                </c:pt>
                <c:pt idx="4">
                  <c:v>34.300000000000004</c:v>
                </c:pt>
                <c:pt idx="6">
                  <c:v>33</c:v>
                </c:pt>
                <c:pt idx="7">
                  <c:v>28.7</c:v>
                </c:pt>
                <c:pt idx="8">
                  <c:v>26.226226226226228</c:v>
                </c:pt>
                <c:pt idx="10">
                  <c:v>27.127127127127125</c:v>
                </c:pt>
                <c:pt idx="11">
                  <c:v>20.8</c:v>
                </c:pt>
                <c:pt idx="12">
                  <c:v>20</c:v>
                </c:pt>
                <c:pt idx="13">
                  <c:v>27.400000000000002</c:v>
                </c:pt>
                <c:pt idx="17">
                  <c:v>26.400000000000002</c:v>
                </c:pt>
                <c:pt idx="18">
                  <c:v>23.1</c:v>
                </c:pt>
                <c:pt idx="19">
                  <c:v>25.7</c:v>
                </c:pt>
                <c:pt idx="21">
                  <c:v>28.1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46-974A-A97C-ADBF02901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26858184"/>
        <c:axId val="226853592"/>
      </c:barChart>
      <c:catAx>
        <c:axId val="226858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(mm/yr)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853592"/>
        <c:crosses val="autoZero"/>
        <c:auto val="1"/>
        <c:lblAlgn val="ctr"/>
        <c:lblOffset val="100"/>
        <c:tickLblSkip val="3"/>
        <c:noMultiLvlLbl val="0"/>
      </c:catAx>
      <c:valAx>
        <c:axId val="226853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Mn Composition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858184"/>
        <c:crosses val="autoZero"/>
        <c:crossBetween val="between"/>
        <c:majorUnit val="0.2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soil_234!$D$1</c:f>
              <c:strCache>
                <c:ptCount val="1"/>
                <c:pt idx="0">
                  <c:v>Mn2+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0.50084937012515929"/>
                  <c:y val="0.510415399795208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soil_234!$C$2:$C$43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995.80053710899995</c:v>
                </c:pt>
                <c:pt idx="28">
                  <c:v>954.46228027300003</c:v>
                </c:pt>
                <c:pt idx="29">
                  <c:v>915.71697998000002</c:v>
                </c:pt>
                <c:pt idx="30">
                  <c:v>887.72674560500002</c:v>
                </c:pt>
                <c:pt idx="31">
                  <c:v>821.85357666000004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xVal>
          <c:yVal>
            <c:numRef>
              <c:f>soil_234!$D$2:$D$43</c:f>
              <c:numCache>
                <c:formatCode>0.0</c:formatCode>
                <c:ptCount val="42"/>
                <c:pt idx="0" formatCode="0.00">
                  <c:v>58.9</c:v>
                </c:pt>
                <c:pt idx="1">
                  <c:v>17.7</c:v>
                </c:pt>
                <c:pt idx="2">
                  <c:v>27.800000000000004</c:v>
                </c:pt>
                <c:pt idx="3" formatCode="0.00">
                  <c:v>45.300000000000004</c:v>
                </c:pt>
                <c:pt idx="4" formatCode="0.00">
                  <c:v>47</c:v>
                </c:pt>
                <c:pt idx="5">
                  <c:v>31.2</c:v>
                </c:pt>
                <c:pt idx="6" formatCode="0.00">
                  <c:v>44.9</c:v>
                </c:pt>
                <c:pt idx="7" formatCode="General">
                  <c:v>25</c:v>
                </c:pt>
                <c:pt idx="8" formatCode="General">
                  <c:v>20.299999999999997</c:v>
                </c:pt>
                <c:pt idx="9">
                  <c:v>7.7</c:v>
                </c:pt>
                <c:pt idx="10" formatCode="General">
                  <c:v>5.3</c:v>
                </c:pt>
                <c:pt idx="11" formatCode="General">
                  <c:v>12.2</c:v>
                </c:pt>
                <c:pt idx="12" formatCode="General">
                  <c:v>10</c:v>
                </c:pt>
                <c:pt idx="13">
                  <c:v>8</c:v>
                </c:pt>
                <c:pt idx="14" formatCode="General">
                  <c:v>2.2977022977022981</c:v>
                </c:pt>
                <c:pt idx="15" formatCode="General">
                  <c:v>2.2999999999999998</c:v>
                </c:pt>
                <c:pt idx="16">
                  <c:v>3.1</c:v>
                </c:pt>
                <c:pt idx="17" formatCode="General">
                  <c:v>7.4074074074074066</c:v>
                </c:pt>
                <c:pt idx="18" formatCode="General">
                  <c:v>10.199999999999999</c:v>
                </c:pt>
                <c:pt idx="19" formatCode="General">
                  <c:v>4.5</c:v>
                </c:pt>
                <c:pt idx="20" formatCode="General">
                  <c:v>13.900000000000002</c:v>
                </c:pt>
                <c:pt idx="21" formatCode="General">
                  <c:v>5.0949050949050951</c:v>
                </c:pt>
                <c:pt idx="22">
                  <c:v>7.3999999999999995</c:v>
                </c:pt>
                <c:pt idx="23" formatCode="General">
                  <c:v>6.7</c:v>
                </c:pt>
                <c:pt idx="24" formatCode="General">
                  <c:v>8.2917082917082929</c:v>
                </c:pt>
                <c:pt idx="25">
                  <c:v>7.6076076076076067</c:v>
                </c:pt>
                <c:pt idx="26" formatCode="General">
                  <c:v>10.7</c:v>
                </c:pt>
                <c:pt idx="27">
                  <c:v>15.215215215215213</c:v>
                </c:pt>
                <c:pt idx="28">
                  <c:v>14.914914914914911</c:v>
                </c:pt>
                <c:pt idx="29" formatCode="General">
                  <c:v>13.900000000000002</c:v>
                </c:pt>
                <c:pt idx="30" formatCode="General">
                  <c:v>10.7</c:v>
                </c:pt>
                <c:pt idx="31">
                  <c:v>9.7902097902097882</c:v>
                </c:pt>
                <c:pt idx="32" formatCode="General">
                  <c:v>12.9</c:v>
                </c:pt>
                <c:pt idx="33" formatCode="General">
                  <c:v>13.900000000000002</c:v>
                </c:pt>
                <c:pt idx="34">
                  <c:v>11.400000000000002</c:v>
                </c:pt>
                <c:pt idx="35" formatCode="General">
                  <c:v>11.700000000000001</c:v>
                </c:pt>
                <c:pt idx="36" formatCode="General">
                  <c:v>9.2907092907092892</c:v>
                </c:pt>
                <c:pt idx="37">
                  <c:v>9.9900099900099892</c:v>
                </c:pt>
                <c:pt idx="38" formatCode="General">
                  <c:v>8.9910089910089894</c:v>
                </c:pt>
                <c:pt idx="39">
                  <c:v>10.189810189810187</c:v>
                </c:pt>
                <c:pt idx="40">
                  <c:v>7.6000000000000014</c:v>
                </c:pt>
                <c:pt idx="41" formatCode="General">
                  <c:v>6.0939060939060932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79-4A70-89FB-0D03039BD473}"/>
            </c:ext>
          </c:extLst>
        </c:ser>
        <c:ser>
          <c:idx val="1"/>
          <c:order val="1"/>
          <c:tx>
            <c:strRef>
              <c:f>soil_234!$E$1</c:f>
              <c:strCache>
                <c:ptCount val="1"/>
                <c:pt idx="0">
                  <c:v>Mn3+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0"/>
            <c:trendlineLbl>
              <c:layout>
                <c:manualLayout>
                  <c:x val="-0.34977642625588751"/>
                  <c:y val="0.485279117119732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soil_234!$C$2:$C$43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995.80053710899995</c:v>
                </c:pt>
                <c:pt idx="28">
                  <c:v>954.46228027300003</c:v>
                </c:pt>
                <c:pt idx="29">
                  <c:v>915.71697998000002</c:v>
                </c:pt>
                <c:pt idx="30">
                  <c:v>887.72674560500002</c:v>
                </c:pt>
                <c:pt idx="31">
                  <c:v>821.85357666000004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xVal>
          <c:yVal>
            <c:numRef>
              <c:f>soil_234!$E$2:$E$43</c:f>
              <c:numCache>
                <c:formatCode>0.0</c:formatCode>
                <c:ptCount val="42"/>
                <c:pt idx="0" formatCode="0.00">
                  <c:v>41.099999999999994</c:v>
                </c:pt>
                <c:pt idx="2">
                  <c:v>72.2</c:v>
                </c:pt>
                <c:pt idx="3" formatCode="0.00">
                  <c:v>54.7</c:v>
                </c:pt>
                <c:pt idx="4" formatCode="0.00">
                  <c:v>53</c:v>
                </c:pt>
                <c:pt idx="5">
                  <c:v>68.8</c:v>
                </c:pt>
                <c:pt idx="6" formatCode="0.00">
                  <c:v>55.1</c:v>
                </c:pt>
                <c:pt idx="7" formatCode="General">
                  <c:v>56.399999999999991</c:v>
                </c:pt>
                <c:pt idx="8" formatCode="General">
                  <c:v>42.6</c:v>
                </c:pt>
                <c:pt idx="9">
                  <c:v>19.2</c:v>
                </c:pt>
                <c:pt idx="10" formatCode="General">
                  <c:v>42.6</c:v>
                </c:pt>
                <c:pt idx="11" formatCode="General">
                  <c:v>53.800000000000004</c:v>
                </c:pt>
                <c:pt idx="12" formatCode="General">
                  <c:v>19.2</c:v>
                </c:pt>
                <c:pt idx="13">
                  <c:v>24.6</c:v>
                </c:pt>
                <c:pt idx="16">
                  <c:v>11.899999999999999</c:v>
                </c:pt>
                <c:pt idx="17" formatCode="General">
                  <c:v>10.01001001001001</c:v>
                </c:pt>
                <c:pt idx="19" formatCode="General">
                  <c:v>16.600000000000001</c:v>
                </c:pt>
                <c:pt idx="20" formatCode="General">
                  <c:v>66.5</c:v>
                </c:pt>
                <c:pt idx="21" formatCode="General">
                  <c:v>6.4935064935064943</c:v>
                </c:pt>
                <c:pt idx="22">
                  <c:v>26.400000000000002</c:v>
                </c:pt>
                <c:pt idx="24" formatCode="General">
                  <c:v>9.290709290709291</c:v>
                </c:pt>
                <c:pt idx="25">
                  <c:v>29.2</c:v>
                </c:pt>
                <c:pt idx="26" formatCode="General">
                  <c:v>26</c:v>
                </c:pt>
                <c:pt idx="27">
                  <c:v>49.5</c:v>
                </c:pt>
                <c:pt idx="28">
                  <c:v>38.4</c:v>
                </c:pt>
                <c:pt idx="29" formatCode="General">
                  <c:v>66.199999999999989</c:v>
                </c:pt>
                <c:pt idx="30" formatCode="General">
                  <c:v>41</c:v>
                </c:pt>
                <c:pt idx="31">
                  <c:v>35.9</c:v>
                </c:pt>
                <c:pt idx="32" formatCode="General">
                  <c:v>42.6</c:v>
                </c:pt>
                <c:pt idx="33" formatCode="General">
                  <c:v>43.4</c:v>
                </c:pt>
                <c:pt idx="34">
                  <c:v>41.5</c:v>
                </c:pt>
                <c:pt idx="35" formatCode="General">
                  <c:v>39.900000000000006</c:v>
                </c:pt>
                <c:pt idx="36" formatCode="General">
                  <c:v>64.135864135864125</c:v>
                </c:pt>
                <c:pt idx="37">
                  <c:v>37.5</c:v>
                </c:pt>
                <c:pt idx="38" formatCode="General">
                  <c:v>66.833166833166828</c:v>
                </c:pt>
                <c:pt idx="39">
                  <c:v>41.699999999999996</c:v>
                </c:pt>
                <c:pt idx="40">
                  <c:v>33.5</c:v>
                </c:pt>
                <c:pt idx="41" formatCode="General">
                  <c:v>45.954045954045952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79-4A70-89FB-0D03039BD473}"/>
            </c:ext>
          </c:extLst>
        </c:ser>
        <c:ser>
          <c:idx val="2"/>
          <c:order val="2"/>
          <c:tx>
            <c:strRef>
              <c:f>soil_234!$F$1</c:f>
              <c:strCache>
                <c:ptCount val="1"/>
                <c:pt idx="0">
                  <c:v>Mn4+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0"/>
            <c:trendlineLbl>
              <c:layout>
                <c:manualLayout>
                  <c:x val="-0.19870348238661573"/>
                  <c:y val="0.177725673470635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soil_234!$C$2:$C$43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995.80053710899995</c:v>
                </c:pt>
                <c:pt idx="28">
                  <c:v>954.46228027300003</c:v>
                </c:pt>
                <c:pt idx="29">
                  <c:v>915.71697998000002</c:v>
                </c:pt>
                <c:pt idx="30">
                  <c:v>887.72674560500002</c:v>
                </c:pt>
                <c:pt idx="31">
                  <c:v>821.85357666000004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xVal>
          <c:yVal>
            <c:numRef>
              <c:f>soil_234!$F$2:$F$43</c:f>
              <c:numCache>
                <c:formatCode>0.0</c:formatCode>
                <c:ptCount val="42"/>
                <c:pt idx="7" formatCode="General">
                  <c:v>18.600000000000001</c:v>
                </c:pt>
                <c:pt idx="8" formatCode="General">
                  <c:v>37.1</c:v>
                </c:pt>
                <c:pt idx="9">
                  <c:v>73.099999999999994</c:v>
                </c:pt>
                <c:pt idx="10" formatCode="General">
                  <c:v>52.1</c:v>
                </c:pt>
                <c:pt idx="11" formatCode="General">
                  <c:v>34</c:v>
                </c:pt>
                <c:pt idx="12" formatCode="General">
                  <c:v>70.8</c:v>
                </c:pt>
                <c:pt idx="13">
                  <c:v>67.400000000000006</c:v>
                </c:pt>
                <c:pt idx="14" formatCode="General">
                  <c:v>97.702297702297713</c:v>
                </c:pt>
                <c:pt idx="15" formatCode="General">
                  <c:v>97.7</c:v>
                </c:pt>
                <c:pt idx="16">
                  <c:v>85</c:v>
                </c:pt>
                <c:pt idx="17" formatCode="General">
                  <c:v>82.582582582582575</c:v>
                </c:pt>
                <c:pt idx="18" formatCode="General">
                  <c:v>89.8</c:v>
                </c:pt>
                <c:pt idx="19" formatCode="General">
                  <c:v>78.900000000000006</c:v>
                </c:pt>
                <c:pt idx="20" formatCode="General">
                  <c:v>19.600000000000001</c:v>
                </c:pt>
                <c:pt idx="21" formatCode="General">
                  <c:v>88.411588411588426</c:v>
                </c:pt>
                <c:pt idx="22">
                  <c:v>66.2</c:v>
                </c:pt>
                <c:pt idx="23" formatCode="General">
                  <c:v>93.300000000000011</c:v>
                </c:pt>
                <c:pt idx="24" formatCode="General">
                  <c:v>82.417582417582423</c:v>
                </c:pt>
                <c:pt idx="25">
                  <c:v>63.1</c:v>
                </c:pt>
                <c:pt idx="26" formatCode="General">
                  <c:v>63.3</c:v>
                </c:pt>
                <c:pt idx="27">
                  <c:v>35.199999999999996</c:v>
                </c:pt>
                <c:pt idx="28">
                  <c:v>46.6</c:v>
                </c:pt>
                <c:pt idx="29" formatCode="General">
                  <c:v>19.900000000000002</c:v>
                </c:pt>
                <c:pt idx="30" formatCode="General">
                  <c:v>48.3</c:v>
                </c:pt>
                <c:pt idx="31">
                  <c:v>54.400000000000006</c:v>
                </c:pt>
                <c:pt idx="32" formatCode="General">
                  <c:v>44.500000000000007</c:v>
                </c:pt>
                <c:pt idx="33" formatCode="General">
                  <c:v>42.699999999999996</c:v>
                </c:pt>
                <c:pt idx="34">
                  <c:v>47.099999999999994</c:v>
                </c:pt>
                <c:pt idx="35" formatCode="General">
                  <c:v>48.4</c:v>
                </c:pt>
                <c:pt idx="36" formatCode="General">
                  <c:v>26.573426573426573</c:v>
                </c:pt>
                <c:pt idx="37">
                  <c:v>52.6</c:v>
                </c:pt>
                <c:pt idx="38" formatCode="General">
                  <c:v>24.175824175824172</c:v>
                </c:pt>
                <c:pt idx="39">
                  <c:v>48.199999999999996</c:v>
                </c:pt>
                <c:pt idx="40">
                  <c:v>58.9</c:v>
                </c:pt>
                <c:pt idx="41" formatCode="General">
                  <c:v>47.952047952047941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79-4A70-89FB-0D03039BD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878176"/>
        <c:axId val="818879816"/>
      </c:scatterChart>
      <c:valAx>
        <c:axId val="818878176"/>
        <c:scaling>
          <c:orientation val="minMax"/>
          <c:max val="3250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79816"/>
        <c:crosses val="autoZero"/>
        <c:crossBetween val="midCat"/>
      </c:valAx>
      <c:valAx>
        <c:axId val="818879816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Mn Composition (%)</a:t>
                </a:r>
              </a:p>
            </c:rich>
          </c:tx>
          <c:layout>
            <c:manualLayout>
              <c:xMode val="edge"/>
              <c:yMode val="edge"/>
              <c:x val="2.6033894969633101E-2"/>
              <c:y val="0.339530845772291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7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393211747299715"/>
          <c:y val="0.88653887387307773"/>
          <c:w val="0.74606783961519119"/>
          <c:h val="5.1586152514137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soil_234!$AM$1</c:f>
              <c:strCache>
                <c:ptCount val="1"/>
                <c:pt idx="0">
                  <c:v>Mn(II)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soil_234!$AL$2:$AL$43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759</c:v>
                </c:pt>
                <c:pt idx="28">
                  <c:v>698</c:v>
                </c:pt>
                <c:pt idx="29">
                  <c:v>671</c:v>
                </c:pt>
                <c:pt idx="30">
                  <c:v>613</c:v>
                </c:pt>
                <c:pt idx="31">
                  <c:v>584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cat>
          <c:val>
            <c:numRef>
              <c:f>soil_234!$AM$2:$AM$43</c:f>
              <c:numCache>
                <c:formatCode>0.00</c:formatCode>
                <c:ptCount val="42"/>
                <c:pt idx="0">
                  <c:v>58.9</c:v>
                </c:pt>
                <c:pt idx="1">
                  <c:v>17.7</c:v>
                </c:pt>
                <c:pt idx="2">
                  <c:v>27.800000000000004</c:v>
                </c:pt>
                <c:pt idx="3">
                  <c:v>45.300000000000004</c:v>
                </c:pt>
                <c:pt idx="4">
                  <c:v>47</c:v>
                </c:pt>
                <c:pt idx="5">
                  <c:v>31.2</c:v>
                </c:pt>
                <c:pt idx="6">
                  <c:v>44.9</c:v>
                </c:pt>
                <c:pt idx="7">
                  <c:v>25</c:v>
                </c:pt>
                <c:pt idx="8">
                  <c:v>20.299999999999997</c:v>
                </c:pt>
                <c:pt idx="9">
                  <c:v>7.7</c:v>
                </c:pt>
                <c:pt idx="10">
                  <c:v>5.3</c:v>
                </c:pt>
                <c:pt idx="11">
                  <c:v>12.2</c:v>
                </c:pt>
                <c:pt idx="12">
                  <c:v>10</c:v>
                </c:pt>
                <c:pt idx="13">
                  <c:v>8</c:v>
                </c:pt>
                <c:pt idx="14">
                  <c:v>2.2977022977022981</c:v>
                </c:pt>
                <c:pt idx="15">
                  <c:v>2.2999999999999998</c:v>
                </c:pt>
                <c:pt idx="16">
                  <c:v>3.1</c:v>
                </c:pt>
                <c:pt idx="17">
                  <c:v>7.4074074074074066</c:v>
                </c:pt>
                <c:pt idx="18">
                  <c:v>10.199999999999999</c:v>
                </c:pt>
                <c:pt idx="19">
                  <c:v>4.5</c:v>
                </c:pt>
                <c:pt idx="20">
                  <c:v>13.900000000000002</c:v>
                </c:pt>
                <c:pt idx="21">
                  <c:v>5.0949050949050951</c:v>
                </c:pt>
                <c:pt idx="22">
                  <c:v>7.3999999999999995</c:v>
                </c:pt>
                <c:pt idx="23">
                  <c:v>6.7</c:v>
                </c:pt>
                <c:pt idx="24">
                  <c:v>8.2917082917082929</c:v>
                </c:pt>
                <c:pt idx="25">
                  <c:v>7.6076076076076067</c:v>
                </c:pt>
                <c:pt idx="26">
                  <c:v>10.7</c:v>
                </c:pt>
                <c:pt idx="27">
                  <c:v>15.215215215215213</c:v>
                </c:pt>
                <c:pt idx="28">
                  <c:v>14.914914914914911</c:v>
                </c:pt>
                <c:pt idx="29">
                  <c:v>13.900000000000002</c:v>
                </c:pt>
                <c:pt idx="30">
                  <c:v>10.7</c:v>
                </c:pt>
                <c:pt idx="31">
                  <c:v>9.7902097902097882</c:v>
                </c:pt>
                <c:pt idx="32">
                  <c:v>12.9</c:v>
                </c:pt>
                <c:pt idx="33">
                  <c:v>13.900000000000002</c:v>
                </c:pt>
                <c:pt idx="34">
                  <c:v>11.400000000000002</c:v>
                </c:pt>
                <c:pt idx="35">
                  <c:v>11.700000000000001</c:v>
                </c:pt>
                <c:pt idx="36">
                  <c:v>9.2907092907092892</c:v>
                </c:pt>
                <c:pt idx="37">
                  <c:v>9.9900099900099892</c:v>
                </c:pt>
                <c:pt idx="38">
                  <c:v>8.9910089910089894</c:v>
                </c:pt>
                <c:pt idx="39">
                  <c:v>10.189810189810187</c:v>
                </c:pt>
                <c:pt idx="40">
                  <c:v>7.6000000000000014</c:v>
                </c:pt>
                <c:pt idx="41">
                  <c:v>6.0939060939060932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A-C54A-9C7A-16DA37E9A5AD}"/>
            </c:ext>
          </c:extLst>
        </c:ser>
        <c:ser>
          <c:idx val="2"/>
          <c:order val="1"/>
          <c:tx>
            <c:strRef>
              <c:f>soil_234!$AN$1</c:f>
              <c:strCache>
                <c:ptCount val="1"/>
                <c:pt idx="0">
                  <c:v>Mn(III)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soil_234!$AL$2:$AL$43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759</c:v>
                </c:pt>
                <c:pt idx="28">
                  <c:v>698</c:v>
                </c:pt>
                <c:pt idx="29">
                  <c:v>671</c:v>
                </c:pt>
                <c:pt idx="30">
                  <c:v>613</c:v>
                </c:pt>
                <c:pt idx="31">
                  <c:v>584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cat>
          <c:val>
            <c:numRef>
              <c:f>soil_234!$AN$2:$AN$43</c:f>
              <c:numCache>
                <c:formatCode>0.00</c:formatCode>
                <c:ptCount val="42"/>
                <c:pt idx="0">
                  <c:v>41.099999999999994</c:v>
                </c:pt>
                <c:pt idx="2">
                  <c:v>72.2</c:v>
                </c:pt>
                <c:pt idx="3">
                  <c:v>54.7</c:v>
                </c:pt>
                <c:pt idx="4">
                  <c:v>53</c:v>
                </c:pt>
                <c:pt idx="5">
                  <c:v>68.8</c:v>
                </c:pt>
                <c:pt idx="6">
                  <c:v>55.1</c:v>
                </c:pt>
                <c:pt idx="7">
                  <c:v>56.399999999999991</c:v>
                </c:pt>
                <c:pt idx="8">
                  <c:v>42.6</c:v>
                </c:pt>
                <c:pt idx="9">
                  <c:v>19.2</c:v>
                </c:pt>
                <c:pt idx="10">
                  <c:v>42.6</c:v>
                </c:pt>
                <c:pt idx="11">
                  <c:v>53.800000000000004</c:v>
                </c:pt>
                <c:pt idx="12">
                  <c:v>19.2</c:v>
                </c:pt>
                <c:pt idx="13">
                  <c:v>24.6</c:v>
                </c:pt>
                <c:pt idx="16">
                  <c:v>11.899999999999999</c:v>
                </c:pt>
                <c:pt idx="17">
                  <c:v>10.01001001001001</c:v>
                </c:pt>
                <c:pt idx="19">
                  <c:v>16.600000000000001</c:v>
                </c:pt>
                <c:pt idx="20">
                  <c:v>66.5</c:v>
                </c:pt>
                <c:pt idx="21">
                  <c:v>6.4935064935064943</c:v>
                </c:pt>
                <c:pt idx="22">
                  <c:v>26.400000000000002</c:v>
                </c:pt>
                <c:pt idx="24">
                  <c:v>9.290709290709291</c:v>
                </c:pt>
                <c:pt idx="25">
                  <c:v>29.2</c:v>
                </c:pt>
                <c:pt idx="26">
                  <c:v>26</c:v>
                </c:pt>
                <c:pt idx="27">
                  <c:v>49.5</c:v>
                </c:pt>
                <c:pt idx="28">
                  <c:v>38.4</c:v>
                </c:pt>
                <c:pt idx="29">
                  <c:v>66.199999999999989</c:v>
                </c:pt>
                <c:pt idx="30">
                  <c:v>41</c:v>
                </c:pt>
                <c:pt idx="31">
                  <c:v>35.9</c:v>
                </c:pt>
                <c:pt idx="32">
                  <c:v>42.6</c:v>
                </c:pt>
                <c:pt idx="33">
                  <c:v>43.4</c:v>
                </c:pt>
                <c:pt idx="34">
                  <c:v>41.5</c:v>
                </c:pt>
                <c:pt idx="35">
                  <c:v>39.900000000000006</c:v>
                </c:pt>
                <c:pt idx="36">
                  <c:v>64.135864135864125</c:v>
                </c:pt>
                <c:pt idx="37">
                  <c:v>37.5</c:v>
                </c:pt>
                <c:pt idx="38">
                  <c:v>66.833166833166828</c:v>
                </c:pt>
                <c:pt idx="39">
                  <c:v>41.699999999999996</c:v>
                </c:pt>
                <c:pt idx="40">
                  <c:v>33.5</c:v>
                </c:pt>
                <c:pt idx="41">
                  <c:v>45.954045954045952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3A-C54A-9C7A-16DA37E9A5AD}"/>
            </c:ext>
          </c:extLst>
        </c:ser>
        <c:ser>
          <c:idx val="3"/>
          <c:order val="2"/>
          <c:tx>
            <c:strRef>
              <c:f>soil_234!$AO$1</c:f>
              <c:strCache>
                <c:ptCount val="1"/>
                <c:pt idx="0">
                  <c:v>Mn(IV)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soil_234!$AL$2:$AL$43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759</c:v>
                </c:pt>
                <c:pt idx="28">
                  <c:v>698</c:v>
                </c:pt>
                <c:pt idx="29">
                  <c:v>671</c:v>
                </c:pt>
                <c:pt idx="30">
                  <c:v>613</c:v>
                </c:pt>
                <c:pt idx="31">
                  <c:v>584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cat>
          <c:val>
            <c:numRef>
              <c:f>soil_234!$AO$2:$AO$43</c:f>
              <c:numCache>
                <c:formatCode>0.00</c:formatCode>
                <c:ptCount val="42"/>
                <c:pt idx="1">
                  <c:v>82.300000000000011</c:v>
                </c:pt>
                <c:pt idx="7">
                  <c:v>18.600000000000001</c:v>
                </c:pt>
                <c:pt idx="8">
                  <c:v>37.1</c:v>
                </c:pt>
                <c:pt idx="9">
                  <c:v>73.099999999999994</c:v>
                </c:pt>
                <c:pt idx="10">
                  <c:v>52.1</c:v>
                </c:pt>
                <c:pt idx="11">
                  <c:v>34</c:v>
                </c:pt>
                <c:pt idx="12">
                  <c:v>70.8</c:v>
                </c:pt>
                <c:pt idx="13">
                  <c:v>67.400000000000006</c:v>
                </c:pt>
                <c:pt idx="14">
                  <c:v>97.702297702297713</c:v>
                </c:pt>
                <c:pt idx="15">
                  <c:v>97.7</c:v>
                </c:pt>
                <c:pt idx="16">
                  <c:v>85</c:v>
                </c:pt>
                <c:pt idx="17">
                  <c:v>82.582582582582575</c:v>
                </c:pt>
                <c:pt idx="18">
                  <c:v>89.8</c:v>
                </c:pt>
                <c:pt idx="19">
                  <c:v>78.900000000000006</c:v>
                </c:pt>
                <c:pt idx="20">
                  <c:v>19.600000000000001</c:v>
                </c:pt>
                <c:pt idx="21">
                  <c:v>88.411588411588426</c:v>
                </c:pt>
                <c:pt idx="22">
                  <c:v>66.2</c:v>
                </c:pt>
                <c:pt idx="23">
                  <c:v>93.300000000000011</c:v>
                </c:pt>
                <c:pt idx="24">
                  <c:v>82.417582417582423</c:v>
                </c:pt>
                <c:pt idx="25">
                  <c:v>63.1</c:v>
                </c:pt>
                <c:pt idx="26">
                  <c:v>63.3</c:v>
                </c:pt>
                <c:pt idx="27">
                  <c:v>35.199999999999996</c:v>
                </c:pt>
                <c:pt idx="28">
                  <c:v>46.6</c:v>
                </c:pt>
                <c:pt idx="29">
                  <c:v>19.900000000000002</c:v>
                </c:pt>
                <c:pt idx="30">
                  <c:v>48.3</c:v>
                </c:pt>
                <c:pt idx="31">
                  <c:v>54.400000000000006</c:v>
                </c:pt>
                <c:pt idx="32">
                  <c:v>44.500000000000007</c:v>
                </c:pt>
                <c:pt idx="33">
                  <c:v>42.699999999999996</c:v>
                </c:pt>
                <c:pt idx="34">
                  <c:v>47.099999999999994</c:v>
                </c:pt>
                <c:pt idx="35">
                  <c:v>48.4</c:v>
                </c:pt>
                <c:pt idx="36">
                  <c:v>26.573426573426573</c:v>
                </c:pt>
                <c:pt idx="37">
                  <c:v>52.6</c:v>
                </c:pt>
                <c:pt idx="38">
                  <c:v>24.175824175824172</c:v>
                </c:pt>
                <c:pt idx="39">
                  <c:v>48.199999999999996</c:v>
                </c:pt>
                <c:pt idx="40">
                  <c:v>58.9</c:v>
                </c:pt>
                <c:pt idx="41">
                  <c:v>47.952047952047941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3A-C54A-9C7A-16DA37E9A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8166799"/>
        <c:axId val="75019632"/>
      </c:barChart>
      <c:catAx>
        <c:axId val="1258166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9632"/>
        <c:crosses val="autoZero"/>
        <c:auto val="1"/>
        <c:lblAlgn val="ctr"/>
        <c:lblOffset val="100"/>
        <c:noMultiLvlLbl val="0"/>
      </c:catAx>
      <c:valAx>
        <c:axId val="75019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Mn Composition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16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Soil</a:t>
            </a:r>
            <a:r>
              <a:rPr lang="en-US" baseline="0"/>
              <a:t> Mn Composition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soil_234!$D$1</c:f>
              <c:strCache>
                <c:ptCount val="1"/>
                <c:pt idx="0">
                  <c:v>Mn2+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soil_234!$C$2:$C$43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995.80053710899995</c:v>
                </c:pt>
                <c:pt idx="28">
                  <c:v>954.46228027300003</c:v>
                </c:pt>
                <c:pt idx="29">
                  <c:v>915.71697998000002</c:v>
                </c:pt>
                <c:pt idx="30">
                  <c:v>887.72674560500002</c:v>
                </c:pt>
                <c:pt idx="31">
                  <c:v>821.85357666000004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xVal>
          <c:yVal>
            <c:numRef>
              <c:f>soil_234!$D$2:$D$43</c:f>
              <c:numCache>
                <c:formatCode>0.0</c:formatCode>
                <c:ptCount val="42"/>
                <c:pt idx="0" formatCode="0.00">
                  <c:v>58.9</c:v>
                </c:pt>
                <c:pt idx="1">
                  <c:v>17.7</c:v>
                </c:pt>
                <c:pt idx="2">
                  <c:v>27.800000000000004</c:v>
                </c:pt>
                <c:pt idx="3" formatCode="0.00">
                  <c:v>45.300000000000004</c:v>
                </c:pt>
                <c:pt idx="4" formatCode="0.00">
                  <c:v>47</c:v>
                </c:pt>
                <c:pt idx="5">
                  <c:v>31.2</c:v>
                </c:pt>
                <c:pt idx="6" formatCode="0.00">
                  <c:v>44.9</c:v>
                </c:pt>
                <c:pt idx="7" formatCode="General">
                  <c:v>25</c:v>
                </c:pt>
                <c:pt idx="8" formatCode="General">
                  <c:v>20.299999999999997</c:v>
                </c:pt>
                <c:pt idx="9">
                  <c:v>7.7</c:v>
                </c:pt>
                <c:pt idx="10" formatCode="General">
                  <c:v>5.3</c:v>
                </c:pt>
                <c:pt idx="11" formatCode="General">
                  <c:v>12.2</c:v>
                </c:pt>
                <c:pt idx="12" formatCode="General">
                  <c:v>10</c:v>
                </c:pt>
                <c:pt idx="13">
                  <c:v>8</c:v>
                </c:pt>
                <c:pt idx="14" formatCode="General">
                  <c:v>2.2977022977022981</c:v>
                </c:pt>
                <c:pt idx="15" formatCode="General">
                  <c:v>2.2999999999999998</c:v>
                </c:pt>
                <c:pt idx="16">
                  <c:v>3.1</c:v>
                </c:pt>
                <c:pt idx="17" formatCode="General">
                  <c:v>7.4074074074074066</c:v>
                </c:pt>
                <c:pt idx="18" formatCode="General">
                  <c:v>10.199999999999999</c:v>
                </c:pt>
                <c:pt idx="19" formatCode="General">
                  <c:v>4.5</c:v>
                </c:pt>
                <c:pt idx="20" formatCode="General">
                  <c:v>13.900000000000002</c:v>
                </c:pt>
                <c:pt idx="21" formatCode="General">
                  <c:v>5.0949050949050951</c:v>
                </c:pt>
                <c:pt idx="22">
                  <c:v>7.3999999999999995</c:v>
                </c:pt>
                <c:pt idx="23" formatCode="General">
                  <c:v>6.7</c:v>
                </c:pt>
                <c:pt idx="24" formatCode="General">
                  <c:v>8.2917082917082929</c:v>
                </c:pt>
                <c:pt idx="25">
                  <c:v>7.6076076076076067</c:v>
                </c:pt>
                <c:pt idx="26" formatCode="General">
                  <c:v>10.7</c:v>
                </c:pt>
                <c:pt idx="27">
                  <c:v>15.215215215215213</c:v>
                </c:pt>
                <c:pt idx="28">
                  <c:v>14.914914914914911</c:v>
                </c:pt>
                <c:pt idx="29" formatCode="General">
                  <c:v>13.900000000000002</c:v>
                </c:pt>
                <c:pt idx="30" formatCode="General">
                  <c:v>10.7</c:v>
                </c:pt>
                <c:pt idx="31">
                  <c:v>9.7902097902097882</c:v>
                </c:pt>
                <c:pt idx="32" formatCode="General">
                  <c:v>12.9</c:v>
                </c:pt>
                <c:pt idx="33" formatCode="General">
                  <c:v>13.900000000000002</c:v>
                </c:pt>
                <c:pt idx="34">
                  <c:v>11.400000000000002</c:v>
                </c:pt>
                <c:pt idx="35" formatCode="General">
                  <c:v>11.700000000000001</c:v>
                </c:pt>
                <c:pt idx="36" formatCode="General">
                  <c:v>9.2907092907092892</c:v>
                </c:pt>
                <c:pt idx="37">
                  <c:v>9.9900099900099892</c:v>
                </c:pt>
                <c:pt idx="38" formatCode="General">
                  <c:v>8.9910089910089894</c:v>
                </c:pt>
                <c:pt idx="39">
                  <c:v>10.189810189810187</c:v>
                </c:pt>
                <c:pt idx="40">
                  <c:v>7.6000000000000014</c:v>
                </c:pt>
                <c:pt idx="41" formatCode="General">
                  <c:v>6.0939060939060932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5-6345-9AC6-CDFDA7B04F1A}"/>
            </c:ext>
          </c:extLst>
        </c:ser>
        <c:ser>
          <c:idx val="1"/>
          <c:order val="1"/>
          <c:tx>
            <c:strRef>
              <c:f>soil_234!$E$1</c:f>
              <c:strCache>
                <c:ptCount val="1"/>
                <c:pt idx="0">
                  <c:v>Mn3+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C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soil_234!$C$2:$C$43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995.80053710899995</c:v>
                </c:pt>
                <c:pt idx="28">
                  <c:v>954.46228027300003</c:v>
                </c:pt>
                <c:pt idx="29">
                  <c:v>915.71697998000002</c:v>
                </c:pt>
                <c:pt idx="30">
                  <c:v>887.72674560500002</c:v>
                </c:pt>
                <c:pt idx="31">
                  <c:v>821.85357666000004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xVal>
          <c:yVal>
            <c:numRef>
              <c:f>soil_234!$E$2:$E$43</c:f>
              <c:numCache>
                <c:formatCode>0.0</c:formatCode>
                <c:ptCount val="42"/>
                <c:pt idx="0" formatCode="0.00">
                  <c:v>41.099999999999994</c:v>
                </c:pt>
                <c:pt idx="2">
                  <c:v>72.2</c:v>
                </c:pt>
                <c:pt idx="3" formatCode="0.00">
                  <c:v>54.7</c:v>
                </c:pt>
                <c:pt idx="4" formatCode="0.00">
                  <c:v>53</c:v>
                </c:pt>
                <c:pt idx="5">
                  <c:v>68.8</c:v>
                </c:pt>
                <c:pt idx="6" formatCode="0.00">
                  <c:v>55.1</c:v>
                </c:pt>
                <c:pt idx="7" formatCode="General">
                  <c:v>56.399999999999991</c:v>
                </c:pt>
                <c:pt idx="8" formatCode="General">
                  <c:v>42.6</c:v>
                </c:pt>
                <c:pt idx="9">
                  <c:v>19.2</c:v>
                </c:pt>
                <c:pt idx="10" formatCode="General">
                  <c:v>42.6</c:v>
                </c:pt>
                <c:pt idx="11" formatCode="General">
                  <c:v>53.800000000000004</c:v>
                </c:pt>
                <c:pt idx="12" formatCode="General">
                  <c:v>19.2</c:v>
                </c:pt>
                <c:pt idx="13">
                  <c:v>24.6</c:v>
                </c:pt>
                <c:pt idx="16">
                  <c:v>11.899999999999999</c:v>
                </c:pt>
                <c:pt idx="17" formatCode="General">
                  <c:v>10.01001001001001</c:v>
                </c:pt>
                <c:pt idx="19" formatCode="General">
                  <c:v>16.600000000000001</c:v>
                </c:pt>
                <c:pt idx="20" formatCode="General">
                  <c:v>66.5</c:v>
                </c:pt>
                <c:pt idx="21" formatCode="General">
                  <c:v>6.4935064935064943</c:v>
                </c:pt>
                <c:pt idx="22">
                  <c:v>26.400000000000002</c:v>
                </c:pt>
                <c:pt idx="24" formatCode="General">
                  <c:v>9.290709290709291</c:v>
                </c:pt>
                <c:pt idx="25">
                  <c:v>29.2</c:v>
                </c:pt>
                <c:pt idx="26" formatCode="General">
                  <c:v>26</c:v>
                </c:pt>
                <c:pt idx="27">
                  <c:v>49.5</c:v>
                </c:pt>
                <c:pt idx="28">
                  <c:v>38.4</c:v>
                </c:pt>
                <c:pt idx="29" formatCode="General">
                  <c:v>66.199999999999989</c:v>
                </c:pt>
                <c:pt idx="30" formatCode="General">
                  <c:v>41</c:v>
                </c:pt>
                <c:pt idx="31">
                  <c:v>35.9</c:v>
                </c:pt>
                <c:pt idx="32" formatCode="General">
                  <c:v>42.6</c:v>
                </c:pt>
                <c:pt idx="33" formatCode="General">
                  <c:v>43.4</c:v>
                </c:pt>
                <c:pt idx="34">
                  <c:v>41.5</c:v>
                </c:pt>
                <c:pt idx="35" formatCode="General">
                  <c:v>39.900000000000006</c:v>
                </c:pt>
                <c:pt idx="36" formatCode="General">
                  <c:v>64.135864135864125</c:v>
                </c:pt>
                <c:pt idx="37">
                  <c:v>37.5</c:v>
                </c:pt>
                <c:pt idx="38" formatCode="General">
                  <c:v>66.833166833166828</c:v>
                </c:pt>
                <c:pt idx="39">
                  <c:v>41.699999999999996</c:v>
                </c:pt>
                <c:pt idx="40">
                  <c:v>33.5</c:v>
                </c:pt>
                <c:pt idx="41" formatCode="General">
                  <c:v>45.954045954045952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35-6345-9AC6-CDFDA7B04F1A}"/>
            </c:ext>
          </c:extLst>
        </c:ser>
        <c:ser>
          <c:idx val="2"/>
          <c:order val="2"/>
          <c:tx>
            <c:strRef>
              <c:f>soil_234!$F$1</c:f>
              <c:strCache>
                <c:ptCount val="1"/>
                <c:pt idx="0">
                  <c:v>Mn4+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soil_234!$C$2:$C$43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995.80053710899995</c:v>
                </c:pt>
                <c:pt idx="28">
                  <c:v>954.46228027300003</c:v>
                </c:pt>
                <c:pt idx="29">
                  <c:v>915.71697998000002</c:v>
                </c:pt>
                <c:pt idx="30">
                  <c:v>887.72674560500002</c:v>
                </c:pt>
                <c:pt idx="31">
                  <c:v>821.85357666000004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xVal>
          <c:yVal>
            <c:numRef>
              <c:f>soil_234!$F$2:$F$43</c:f>
              <c:numCache>
                <c:formatCode>0.0</c:formatCode>
                <c:ptCount val="42"/>
                <c:pt idx="7" formatCode="General">
                  <c:v>18.600000000000001</c:v>
                </c:pt>
                <c:pt idx="8" formatCode="General">
                  <c:v>37.1</c:v>
                </c:pt>
                <c:pt idx="9">
                  <c:v>73.099999999999994</c:v>
                </c:pt>
                <c:pt idx="10" formatCode="General">
                  <c:v>52.1</c:v>
                </c:pt>
                <c:pt idx="11" formatCode="General">
                  <c:v>34</c:v>
                </c:pt>
                <c:pt idx="12" formatCode="General">
                  <c:v>70.8</c:v>
                </c:pt>
                <c:pt idx="13">
                  <c:v>67.400000000000006</c:v>
                </c:pt>
                <c:pt idx="14" formatCode="General">
                  <c:v>97.702297702297713</c:v>
                </c:pt>
                <c:pt idx="15" formatCode="General">
                  <c:v>97.7</c:v>
                </c:pt>
                <c:pt idx="16">
                  <c:v>85</c:v>
                </c:pt>
                <c:pt idx="17" formatCode="General">
                  <c:v>82.582582582582575</c:v>
                </c:pt>
                <c:pt idx="18" formatCode="General">
                  <c:v>89.8</c:v>
                </c:pt>
                <c:pt idx="19" formatCode="General">
                  <c:v>78.900000000000006</c:v>
                </c:pt>
                <c:pt idx="20" formatCode="General">
                  <c:v>19.600000000000001</c:v>
                </c:pt>
                <c:pt idx="21" formatCode="General">
                  <c:v>88.411588411588426</c:v>
                </c:pt>
                <c:pt idx="22">
                  <c:v>66.2</c:v>
                </c:pt>
                <c:pt idx="23" formatCode="General">
                  <c:v>93.300000000000011</c:v>
                </c:pt>
                <c:pt idx="24" formatCode="General">
                  <c:v>82.417582417582423</c:v>
                </c:pt>
                <c:pt idx="25">
                  <c:v>63.1</c:v>
                </c:pt>
                <c:pt idx="26" formatCode="General">
                  <c:v>63.3</c:v>
                </c:pt>
                <c:pt idx="27">
                  <c:v>35.199999999999996</c:v>
                </c:pt>
                <c:pt idx="28">
                  <c:v>46.6</c:v>
                </c:pt>
                <c:pt idx="29" formatCode="General">
                  <c:v>19.900000000000002</c:v>
                </c:pt>
                <c:pt idx="30" formatCode="General">
                  <c:v>48.3</c:v>
                </c:pt>
                <c:pt idx="31">
                  <c:v>54.400000000000006</c:v>
                </c:pt>
                <c:pt idx="32" formatCode="General">
                  <c:v>44.500000000000007</c:v>
                </c:pt>
                <c:pt idx="33" formatCode="General">
                  <c:v>42.699999999999996</c:v>
                </c:pt>
                <c:pt idx="34">
                  <c:v>47.099999999999994</c:v>
                </c:pt>
                <c:pt idx="35" formatCode="General">
                  <c:v>48.4</c:v>
                </c:pt>
                <c:pt idx="36" formatCode="General">
                  <c:v>26.573426573426573</c:v>
                </c:pt>
                <c:pt idx="37">
                  <c:v>52.6</c:v>
                </c:pt>
                <c:pt idx="38" formatCode="General">
                  <c:v>24.175824175824172</c:v>
                </c:pt>
                <c:pt idx="39">
                  <c:v>48.199999999999996</c:v>
                </c:pt>
                <c:pt idx="40">
                  <c:v>58.9</c:v>
                </c:pt>
                <c:pt idx="41" formatCode="General">
                  <c:v>47.952047952047941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35-6345-9AC6-CDFDA7B04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878176"/>
        <c:axId val="818879816"/>
      </c:scatterChart>
      <c:valAx>
        <c:axId val="818878176"/>
        <c:scaling>
          <c:orientation val="minMax"/>
          <c:max val="3250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79816"/>
        <c:crosses val="autoZero"/>
        <c:crossBetween val="midCat"/>
      </c:valAx>
      <c:valAx>
        <c:axId val="818879816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Mn Composition (%)</a:t>
                </a:r>
              </a:p>
            </c:rich>
          </c:tx>
          <c:layout>
            <c:manualLayout>
              <c:xMode val="edge"/>
              <c:yMode val="edge"/>
              <c:x val="2.6033894969633101E-2"/>
              <c:y val="0.339530845772291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7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393211747299715"/>
          <c:y val="0.88653887387307773"/>
          <c:w val="0.50298305046527036"/>
          <c:h val="5.4900743225017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percentStacked"/>
        <c:varyColors val="0"/>
        <c:ser>
          <c:idx val="1"/>
          <c:order val="0"/>
          <c:tx>
            <c:strRef>
              <c:f>soil_234!$AM$1</c:f>
              <c:strCache>
                <c:ptCount val="1"/>
                <c:pt idx="0">
                  <c:v>Mn(II)</c:v>
                </c:pt>
              </c:strCache>
            </c:strRef>
          </c:tx>
          <c:spPr>
            <a:solidFill>
              <a:srgbClr val="FA7D9B"/>
            </a:solidFill>
            <a:ln>
              <a:solidFill>
                <a:schemeClr val="tx1"/>
              </a:solidFill>
            </a:ln>
            <a:effectLst/>
          </c:spPr>
          <c:cat>
            <c:numRef>
              <c:f>soil_234!$AL$2:$AL$43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759</c:v>
                </c:pt>
                <c:pt idx="28">
                  <c:v>698</c:v>
                </c:pt>
                <c:pt idx="29">
                  <c:v>671</c:v>
                </c:pt>
                <c:pt idx="30">
                  <c:v>613</c:v>
                </c:pt>
                <c:pt idx="31">
                  <c:v>584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cat>
          <c:val>
            <c:numRef>
              <c:f>soil_234!$AM$2:$AM$43</c:f>
              <c:numCache>
                <c:formatCode>0.00</c:formatCode>
                <c:ptCount val="42"/>
                <c:pt idx="0">
                  <c:v>58.9</c:v>
                </c:pt>
                <c:pt idx="1">
                  <c:v>17.7</c:v>
                </c:pt>
                <c:pt idx="2">
                  <c:v>27.800000000000004</c:v>
                </c:pt>
                <c:pt idx="3">
                  <c:v>45.300000000000004</c:v>
                </c:pt>
                <c:pt idx="4">
                  <c:v>47</c:v>
                </c:pt>
                <c:pt idx="5">
                  <c:v>31.2</c:v>
                </c:pt>
                <c:pt idx="6">
                  <c:v>44.9</c:v>
                </c:pt>
                <c:pt idx="7">
                  <c:v>25</c:v>
                </c:pt>
                <c:pt idx="8">
                  <c:v>20.299999999999997</c:v>
                </c:pt>
                <c:pt idx="9">
                  <c:v>7.7</c:v>
                </c:pt>
                <c:pt idx="10">
                  <c:v>5.3</c:v>
                </c:pt>
                <c:pt idx="11">
                  <c:v>12.2</c:v>
                </c:pt>
                <c:pt idx="12">
                  <c:v>10</c:v>
                </c:pt>
                <c:pt idx="13">
                  <c:v>8</c:v>
                </c:pt>
                <c:pt idx="14">
                  <c:v>2.2977022977022981</c:v>
                </c:pt>
                <c:pt idx="15">
                  <c:v>2.2999999999999998</c:v>
                </c:pt>
                <c:pt idx="16">
                  <c:v>3.1</c:v>
                </c:pt>
                <c:pt idx="17">
                  <c:v>7.4074074074074066</c:v>
                </c:pt>
                <c:pt idx="18">
                  <c:v>10.199999999999999</c:v>
                </c:pt>
                <c:pt idx="19">
                  <c:v>4.5</c:v>
                </c:pt>
                <c:pt idx="20">
                  <c:v>13.900000000000002</c:v>
                </c:pt>
                <c:pt idx="21">
                  <c:v>5.0949050949050951</c:v>
                </c:pt>
                <c:pt idx="22">
                  <c:v>7.3999999999999995</c:v>
                </c:pt>
                <c:pt idx="23">
                  <c:v>6.7</c:v>
                </c:pt>
                <c:pt idx="24">
                  <c:v>8.2917082917082929</c:v>
                </c:pt>
                <c:pt idx="25">
                  <c:v>7.6076076076076067</c:v>
                </c:pt>
                <c:pt idx="26">
                  <c:v>10.7</c:v>
                </c:pt>
                <c:pt idx="27">
                  <c:v>15.215215215215213</c:v>
                </c:pt>
                <c:pt idx="28">
                  <c:v>14.914914914914911</c:v>
                </c:pt>
                <c:pt idx="29">
                  <c:v>13.900000000000002</c:v>
                </c:pt>
                <c:pt idx="30">
                  <c:v>10.7</c:v>
                </c:pt>
                <c:pt idx="31">
                  <c:v>9.7902097902097882</c:v>
                </c:pt>
                <c:pt idx="32">
                  <c:v>12.9</c:v>
                </c:pt>
                <c:pt idx="33">
                  <c:v>13.900000000000002</c:v>
                </c:pt>
                <c:pt idx="34">
                  <c:v>11.400000000000002</c:v>
                </c:pt>
                <c:pt idx="35">
                  <c:v>11.700000000000001</c:v>
                </c:pt>
                <c:pt idx="36">
                  <c:v>9.2907092907092892</c:v>
                </c:pt>
                <c:pt idx="37">
                  <c:v>9.9900099900099892</c:v>
                </c:pt>
                <c:pt idx="38">
                  <c:v>8.9910089910089894</c:v>
                </c:pt>
                <c:pt idx="39">
                  <c:v>10.189810189810187</c:v>
                </c:pt>
                <c:pt idx="40">
                  <c:v>7.6000000000000014</c:v>
                </c:pt>
                <c:pt idx="41">
                  <c:v>6.0939060939060932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4-7948-ACC0-EADBE5B59634}"/>
            </c:ext>
          </c:extLst>
        </c:ser>
        <c:ser>
          <c:idx val="2"/>
          <c:order val="1"/>
          <c:tx>
            <c:strRef>
              <c:f>soil_234!$AN$1</c:f>
              <c:strCache>
                <c:ptCount val="1"/>
                <c:pt idx="0">
                  <c:v>Mn(III)</c:v>
                </c:pt>
              </c:strCache>
            </c:strRef>
          </c:tx>
          <c:spPr>
            <a:solidFill>
              <a:srgbClr val="FFE5CC"/>
            </a:solidFill>
            <a:ln>
              <a:solidFill>
                <a:schemeClr val="tx1"/>
              </a:solidFill>
            </a:ln>
            <a:effectLst/>
          </c:spPr>
          <c:cat>
            <c:numRef>
              <c:f>soil_234!$AL$2:$AL$43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759</c:v>
                </c:pt>
                <c:pt idx="28">
                  <c:v>698</c:v>
                </c:pt>
                <c:pt idx="29">
                  <c:v>671</c:v>
                </c:pt>
                <c:pt idx="30">
                  <c:v>613</c:v>
                </c:pt>
                <c:pt idx="31">
                  <c:v>584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cat>
          <c:val>
            <c:numRef>
              <c:f>soil_234!$AN$2:$AN$43</c:f>
              <c:numCache>
                <c:formatCode>0.00</c:formatCode>
                <c:ptCount val="42"/>
                <c:pt idx="0">
                  <c:v>41.099999999999994</c:v>
                </c:pt>
                <c:pt idx="2">
                  <c:v>72.2</c:v>
                </c:pt>
                <c:pt idx="3">
                  <c:v>54.7</c:v>
                </c:pt>
                <c:pt idx="4">
                  <c:v>53</c:v>
                </c:pt>
                <c:pt idx="5">
                  <c:v>68.8</c:v>
                </c:pt>
                <c:pt idx="6">
                  <c:v>55.1</c:v>
                </c:pt>
                <c:pt idx="7">
                  <c:v>56.399999999999991</c:v>
                </c:pt>
                <c:pt idx="8">
                  <c:v>42.6</c:v>
                </c:pt>
                <c:pt idx="9">
                  <c:v>19.2</c:v>
                </c:pt>
                <c:pt idx="10">
                  <c:v>42.6</c:v>
                </c:pt>
                <c:pt idx="11">
                  <c:v>53.800000000000004</c:v>
                </c:pt>
                <c:pt idx="12">
                  <c:v>19.2</c:v>
                </c:pt>
                <c:pt idx="13">
                  <c:v>24.6</c:v>
                </c:pt>
                <c:pt idx="16">
                  <c:v>11.899999999999999</c:v>
                </c:pt>
                <c:pt idx="17">
                  <c:v>10.01001001001001</c:v>
                </c:pt>
                <c:pt idx="19">
                  <c:v>16.600000000000001</c:v>
                </c:pt>
                <c:pt idx="20">
                  <c:v>66.5</c:v>
                </c:pt>
                <c:pt idx="21">
                  <c:v>6.4935064935064943</c:v>
                </c:pt>
                <c:pt idx="22">
                  <c:v>26.400000000000002</c:v>
                </c:pt>
                <c:pt idx="24">
                  <c:v>9.290709290709291</c:v>
                </c:pt>
                <c:pt idx="25">
                  <c:v>29.2</c:v>
                </c:pt>
                <c:pt idx="26">
                  <c:v>26</c:v>
                </c:pt>
                <c:pt idx="27">
                  <c:v>49.5</c:v>
                </c:pt>
                <c:pt idx="28">
                  <c:v>38.4</c:v>
                </c:pt>
                <c:pt idx="29">
                  <c:v>66.199999999999989</c:v>
                </c:pt>
                <c:pt idx="30">
                  <c:v>41</c:v>
                </c:pt>
                <c:pt idx="31">
                  <c:v>35.9</c:v>
                </c:pt>
                <c:pt idx="32">
                  <c:v>42.6</c:v>
                </c:pt>
                <c:pt idx="33">
                  <c:v>43.4</c:v>
                </c:pt>
                <c:pt idx="34">
                  <c:v>41.5</c:v>
                </c:pt>
                <c:pt idx="35">
                  <c:v>39.900000000000006</c:v>
                </c:pt>
                <c:pt idx="36">
                  <c:v>64.135864135864125</c:v>
                </c:pt>
                <c:pt idx="37">
                  <c:v>37.5</c:v>
                </c:pt>
                <c:pt idx="38">
                  <c:v>66.833166833166828</c:v>
                </c:pt>
                <c:pt idx="39">
                  <c:v>41.699999999999996</c:v>
                </c:pt>
                <c:pt idx="40">
                  <c:v>33.5</c:v>
                </c:pt>
                <c:pt idx="41">
                  <c:v>45.954045954045952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4-7948-ACC0-EADBE5B59634}"/>
            </c:ext>
          </c:extLst>
        </c:ser>
        <c:ser>
          <c:idx val="3"/>
          <c:order val="2"/>
          <c:tx>
            <c:strRef>
              <c:f>soil_234!$AO$1</c:f>
              <c:strCache>
                <c:ptCount val="1"/>
                <c:pt idx="0">
                  <c:v>Mn(IV)</c:v>
                </c:pt>
              </c:strCache>
            </c:strRef>
          </c:tx>
          <c:spPr>
            <a:solidFill>
              <a:srgbClr val="4C5855"/>
            </a:solidFill>
            <a:ln>
              <a:solidFill>
                <a:schemeClr val="tx1"/>
              </a:solidFill>
            </a:ln>
            <a:effectLst/>
          </c:spPr>
          <c:cat>
            <c:numRef>
              <c:f>soil_234!$AL$2:$AL$43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759</c:v>
                </c:pt>
                <c:pt idx="28">
                  <c:v>698</c:v>
                </c:pt>
                <c:pt idx="29">
                  <c:v>671</c:v>
                </c:pt>
                <c:pt idx="30">
                  <c:v>613</c:v>
                </c:pt>
                <c:pt idx="31">
                  <c:v>584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cat>
          <c:val>
            <c:numRef>
              <c:f>soil_234!$AO$2:$AO$43</c:f>
              <c:numCache>
                <c:formatCode>0.00</c:formatCode>
                <c:ptCount val="42"/>
                <c:pt idx="1">
                  <c:v>82.300000000000011</c:v>
                </c:pt>
                <c:pt idx="7">
                  <c:v>18.600000000000001</c:v>
                </c:pt>
                <c:pt idx="8">
                  <c:v>37.1</c:v>
                </c:pt>
                <c:pt idx="9">
                  <c:v>73.099999999999994</c:v>
                </c:pt>
                <c:pt idx="10">
                  <c:v>52.1</c:v>
                </c:pt>
                <c:pt idx="11">
                  <c:v>34</c:v>
                </c:pt>
                <c:pt idx="12">
                  <c:v>70.8</c:v>
                </c:pt>
                <c:pt idx="13">
                  <c:v>67.400000000000006</c:v>
                </c:pt>
                <c:pt idx="14">
                  <c:v>97.702297702297713</c:v>
                </c:pt>
                <c:pt idx="15">
                  <c:v>97.7</c:v>
                </c:pt>
                <c:pt idx="16">
                  <c:v>85</c:v>
                </c:pt>
                <c:pt idx="17">
                  <c:v>82.582582582582575</c:v>
                </c:pt>
                <c:pt idx="18">
                  <c:v>89.8</c:v>
                </c:pt>
                <c:pt idx="19">
                  <c:v>78.900000000000006</c:v>
                </c:pt>
                <c:pt idx="20">
                  <c:v>19.600000000000001</c:v>
                </c:pt>
                <c:pt idx="21">
                  <c:v>88.411588411588426</c:v>
                </c:pt>
                <c:pt idx="22">
                  <c:v>66.2</c:v>
                </c:pt>
                <c:pt idx="23">
                  <c:v>93.300000000000011</c:v>
                </c:pt>
                <c:pt idx="24">
                  <c:v>82.417582417582423</c:v>
                </c:pt>
                <c:pt idx="25">
                  <c:v>63.1</c:v>
                </c:pt>
                <c:pt idx="26">
                  <c:v>63.3</c:v>
                </c:pt>
                <c:pt idx="27">
                  <c:v>35.199999999999996</c:v>
                </c:pt>
                <c:pt idx="28">
                  <c:v>46.6</c:v>
                </c:pt>
                <c:pt idx="29">
                  <c:v>19.900000000000002</c:v>
                </c:pt>
                <c:pt idx="30">
                  <c:v>48.3</c:v>
                </c:pt>
                <c:pt idx="31">
                  <c:v>54.400000000000006</c:v>
                </c:pt>
                <c:pt idx="32">
                  <c:v>44.500000000000007</c:v>
                </c:pt>
                <c:pt idx="33">
                  <c:v>42.699999999999996</c:v>
                </c:pt>
                <c:pt idx="34">
                  <c:v>47.099999999999994</c:v>
                </c:pt>
                <c:pt idx="35">
                  <c:v>48.4</c:v>
                </c:pt>
                <c:pt idx="36">
                  <c:v>26.573426573426573</c:v>
                </c:pt>
                <c:pt idx="37">
                  <c:v>52.6</c:v>
                </c:pt>
                <c:pt idx="38">
                  <c:v>24.175824175824172</c:v>
                </c:pt>
                <c:pt idx="39">
                  <c:v>48.199999999999996</c:v>
                </c:pt>
                <c:pt idx="40">
                  <c:v>58.9</c:v>
                </c:pt>
                <c:pt idx="41">
                  <c:v>47.952047952047941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4-7948-ACC0-EADBE5B59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166799"/>
        <c:axId val="75019632"/>
      </c:areaChart>
      <c:catAx>
        <c:axId val="1258166799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9632"/>
        <c:crosses val="autoZero"/>
        <c:auto val="1"/>
        <c:lblAlgn val="ctr"/>
        <c:lblOffset val="100"/>
        <c:noMultiLvlLbl val="0"/>
      </c:catAx>
      <c:valAx>
        <c:axId val="7501963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166799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555555555555552E-2"/>
          <c:y val="0"/>
          <c:w val="0.91388888888888886"/>
          <c:h val="0.84722222222222221"/>
        </c:manualLayout>
      </c:layout>
      <c:areaChart>
        <c:grouping val="standard"/>
        <c:varyColors val="0"/>
        <c:ser>
          <c:idx val="0"/>
          <c:order val="0"/>
          <c:tx>
            <c:strRef>
              <c:f>soil_234!$AL$1</c:f>
              <c:strCache>
                <c:ptCount val="1"/>
                <c:pt idx="0">
                  <c:v>MAP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  <a:effectLst/>
          </c:spPr>
          <c:val>
            <c:numRef>
              <c:f>soil_234!$AL$2:$AL$43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759</c:v>
                </c:pt>
                <c:pt idx="28">
                  <c:v>698</c:v>
                </c:pt>
                <c:pt idx="29">
                  <c:v>671</c:v>
                </c:pt>
                <c:pt idx="30">
                  <c:v>613</c:v>
                </c:pt>
                <c:pt idx="31">
                  <c:v>584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soil_234!#REF!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0B7-C94B-840D-263D02AC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10495"/>
        <c:axId val="42588911"/>
      </c:areaChart>
      <c:catAx>
        <c:axId val="42610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588911"/>
        <c:crosses val="autoZero"/>
        <c:auto val="1"/>
        <c:lblAlgn val="ctr"/>
        <c:lblOffset val="100"/>
        <c:noMultiLvlLbl val="0"/>
      </c:catAx>
      <c:valAx>
        <c:axId val="42588911"/>
        <c:scaling>
          <c:orientation val="minMax"/>
          <c:max val="3300"/>
          <c:min val="0"/>
        </c:scaling>
        <c:delete val="1"/>
        <c:axPos val="l"/>
        <c:numFmt formatCode="0" sourceLinked="1"/>
        <c:majorTickMark val="none"/>
        <c:minorTickMark val="none"/>
        <c:tickLblPos val="nextTo"/>
        <c:crossAx val="4261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soil_234!$AM$1</c:f>
              <c:strCache>
                <c:ptCount val="1"/>
                <c:pt idx="0">
                  <c:v>Mn(II)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A7D9B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A7D9B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0"/>
            <c:trendlineLbl>
              <c:layout>
                <c:manualLayout>
                  <c:x val="5.0798888525242412E-2"/>
                  <c:y val="-0.154873453318335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soil_234!$AL$2:$AL$43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759</c:v>
                </c:pt>
                <c:pt idx="28">
                  <c:v>698</c:v>
                </c:pt>
                <c:pt idx="29">
                  <c:v>671</c:v>
                </c:pt>
                <c:pt idx="30">
                  <c:v>613</c:v>
                </c:pt>
                <c:pt idx="31">
                  <c:v>584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xVal>
          <c:yVal>
            <c:numRef>
              <c:f>soil_234!$AM$2:$AM$43</c:f>
              <c:numCache>
                <c:formatCode>0.00</c:formatCode>
                <c:ptCount val="42"/>
                <c:pt idx="0">
                  <c:v>58.9</c:v>
                </c:pt>
                <c:pt idx="1">
                  <c:v>17.7</c:v>
                </c:pt>
                <c:pt idx="2">
                  <c:v>27.800000000000004</c:v>
                </c:pt>
                <c:pt idx="3">
                  <c:v>45.300000000000004</c:v>
                </c:pt>
                <c:pt idx="4">
                  <c:v>47</c:v>
                </c:pt>
                <c:pt idx="5">
                  <c:v>31.2</c:v>
                </c:pt>
                <c:pt idx="6">
                  <c:v>44.9</c:v>
                </c:pt>
                <c:pt idx="7">
                  <c:v>25</c:v>
                </c:pt>
                <c:pt idx="8">
                  <c:v>20.299999999999997</c:v>
                </c:pt>
                <c:pt idx="9">
                  <c:v>7.7</c:v>
                </c:pt>
                <c:pt idx="10">
                  <c:v>5.3</c:v>
                </c:pt>
                <c:pt idx="11">
                  <c:v>12.2</c:v>
                </c:pt>
                <c:pt idx="12">
                  <c:v>10</c:v>
                </c:pt>
                <c:pt idx="13">
                  <c:v>8</c:v>
                </c:pt>
                <c:pt idx="14">
                  <c:v>2.2977022977022981</c:v>
                </c:pt>
                <c:pt idx="15">
                  <c:v>2.2999999999999998</c:v>
                </c:pt>
                <c:pt idx="16">
                  <c:v>3.1</c:v>
                </c:pt>
                <c:pt idx="17">
                  <c:v>7.4074074074074066</c:v>
                </c:pt>
                <c:pt idx="18">
                  <c:v>10.199999999999999</c:v>
                </c:pt>
                <c:pt idx="19">
                  <c:v>4.5</c:v>
                </c:pt>
                <c:pt idx="20">
                  <c:v>13.900000000000002</c:v>
                </c:pt>
                <c:pt idx="21">
                  <c:v>5.0949050949050951</c:v>
                </c:pt>
                <c:pt idx="22">
                  <c:v>7.3999999999999995</c:v>
                </c:pt>
                <c:pt idx="23">
                  <c:v>6.7</c:v>
                </c:pt>
                <c:pt idx="24">
                  <c:v>8.2917082917082929</c:v>
                </c:pt>
                <c:pt idx="25">
                  <c:v>7.6076076076076067</c:v>
                </c:pt>
                <c:pt idx="26">
                  <c:v>10.7</c:v>
                </c:pt>
                <c:pt idx="27">
                  <c:v>15.215215215215213</c:v>
                </c:pt>
                <c:pt idx="28">
                  <c:v>14.914914914914911</c:v>
                </c:pt>
                <c:pt idx="29">
                  <c:v>13.900000000000002</c:v>
                </c:pt>
                <c:pt idx="30">
                  <c:v>10.7</c:v>
                </c:pt>
                <c:pt idx="31">
                  <c:v>9.7902097902097882</c:v>
                </c:pt>
                <c:pt idx="32">
                  <c:v>12.9</c:v>
                </c:pt>
                <c:pt idx="33">
                  <c:v>13.900000000000002</c:v>
                </c:pt>
                <c:pt idx="34">
                  <c:v>11.400000000000002</c:v>
                </c:pt>
                <c:pt idx="35">
                  <c:v>11.700000000000001</c:v>
                </c:pt>
                <c:pt idx="36">
                  <c:v>9.2907092907092892</c:v>
                </c:pt>
                <c:pt idx="37">
                  <c:v>9.9900099900099892</c:v>
                </c:pt>
                <c:pt idx="38">
                  <c:v>8.9910089910089894</c:v>
                </c:pt>
                <c:pt idx="39">
                  <c:v>10.189810189810187</c:v>
                </c:pt>
                <c:pt idx="40">
                  <c:v>7.6000000000000014</c:v>
                </c:pt>
                <c:pt idx="41">
                  <c:v>6.0939060939060932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2-3E47-B446-79D736A590E1}"/>
            </c:ext>
          </c:extLst>
        </c:ser>
        <c:ser>
          <c:idx val="2"/>
          <c:order val="1"/>
          <c:tx>
            <c:strRef>
              <c:f>soil_234!$AN$1</c:f>
              <c:strCache>
                <c:ptCount val="1"/>
                <c:pt idx="0">
                  <c:v>Mn(III)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FFE5CC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D6C4AD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0"/>
            <c:trendlineLbl>
              <c:layout>
                <c:manualLayout>
                  <c:x val="4.1018937424997917E-2"/>
                  <c:y val="-0.270185953318335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soil_234!$AL$2:$AL$43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759</c:v>
                </c:pt>
                <c:pt idx="28">
                  <c:v>698</c:v>
                </c:pt>
                <c:pt idx="29">
                  <c:v>671</c:v>
                </c:pt>
                <c:pt idx="30">
                  <c:v>613</c:v>
                </c:pt>
                <c:pt idx="31">
                  <c:v>584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xVal>
          <c:yVal>
            <c:numRef>
              <c:f>soil_234!$AN$2:$AN$43</c:f>
              <c:numCache>
                <c:formatCode>0.00</c:formatCode>
                <c:ptCount val="42"/>
                <c:pt idx="0">
                  <c:v>41.099999999999994</c:v>
                </c:pt>
                <c:pt idx="2">
                  <c:v>72.2</c:v>
                </c:pt>
                <c:pt idx="3">
                  <c:v>54.7</c:v>
                </c:pt>
                <c:pt idx="4">
                  <c:v>53</c:v>
                </c:pt>
                <c:pt idx="5">
                  <c:v>68.8</c:v>
                </c:pt>
                <c:pt idx="6">
                  <c:v>55.1</c:v>
                </c:pt>
                <c:pt idx="7">
                  <c:v>56.399999999999991</c:v>
                </c:pt>
                <c:pt idx="8">
                  <c:v>42.6</c:v>
                </c:pt>
                <c:pt idx="9">
                  <c:v>19.2</c:v>
                </c:pt>
                <c:pt idx="10">
                  <c:v>42.6</c:v>
                </c:pt>
                <c:pt idx="11">
                  <c:v>53.800000000000004</c:v>
                </c:pt>
                <c:pt idx="12">
                  <c:v>19.2</c:v>
                </c:pt>
                <c:pt idx="13">
                  <c:v>24.6</c:v>
                </c:pt>
                <c:pt idx="16">
                  <c:v>11.899999999999999</c:v>
                </c:pt>
                <c:pt idx="17">
                  <c:v>10.01001001001001</c:v>
                </c:pt>
                <c:pt idx="19">
                  <c:v>16.600000000000001</c:v>
                </c:pt>
                <c:pt idx="20">
                  <c:v>66.5</c:v>
                </c:pt>
                <c:pt idx="21">
                  <c:v>6.4935064935064943</c:v>
                </c:pt>
                <c:pt idx="22">
                  <c:v>26.400000000000002</c:v>
                </c:pt>
                <c:pt idx="24">
                  <c:v>9.290709290709291</c:v>
                </c:pt>
                <c:pt idx="25">
                  <c:v>29.2</c:v>
                </c:pt>
                <c:pt idx="26">
                  <c:v>26</c:v>
                </c:pt>
                <c:pt idx="27">
                  <c:v>49.5</c:v>
                </c:pt>
                <c:pt idx="28">
                  <c:v>38.4</c:v>
                </c:pt>
                <c:pt idx="29">
                  <c:v>66.199999999999989</c:v>
                </c:pt>
                <c:pt idx="30">
                  <c:v>41</c:v>
                </c:pt>
                <c:pt idx="31">
                  <c:v>35.9</c:v>
                </c:pt>
                <c:pt idx="32">
                  <c:v>42.6</c:v>
                </c:pt>
                <c:pt idx="33">
                  <c:v>43.4</c:v>
                </c:pt>
                <c:pt idx="34">
                  <c:v>41.5</c:v>
                </c:pt>
                <c:pt idx="35">
                  <c:v>39.900000000000006</c:v>
                </c:pt>
                <c:pt idx="36">
                  <c:v>64.135864135864125</c:v>
                </c:pt>
                <c:pt idx="37">
                  <c:v>37.5</c:v>
                </c:pt>
                <c:pt idx="38">
                  <c:v>66.833166833166828</c:v>
                </c:pt>
                <c:pt idx="39">
                  <c:v>41.699999999999996</c:v>
                </c:pt>
                <c:pt idx="40">
                  <c:v>33.5</c:v>
                </c:pt>
                <c:pt idx="41">
                  <c:v>45.954045954045952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52-3E47-B446-79D736A590E1}"/>
            </c:ext>
          </c:extLst>
        </c:ser>
        <c:ser>
          <c:idx val="3"/>
          <c:order val="2"/>
          <c:tx>
            <c:strRef>
              <c:f>soil_234!$AO$1</c:f>
              <c:strCache>
                <c:ptCount val="1"/>
                <c:pt idx="0">
                  <c:v>Mn(IV)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C5855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4C5855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0"/>
            <c:trendlineLbl>
              <c:layout>
                <c:manualLayout>
                  <c:x val="3.6128961874875666E-2"/>
                  <c:y val="-0.159109251968503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soil_234!$AL$2:$AL$43</c:f>
              <c:numCache>
                <c:formatCode>0</c:formatCode>
                <c:ptCount val="42"/>
                <c:pt idx="0">
                  <c:v>3237.9897460900002</c:v>
                </c:pt>
                <c:pt idx="1">
                  <c:v>3123.3532714799999</c:v>
                </c:pt>
                <c:pt idx="2">
                  <c:v>3018.20703125</c:v>
                </c:pt>
                <c:pt idx="3">
                  <c:v>2916.2229003900002</c:v>
                </c:pt>
                <c:pt idx="4">
                  <c:v>2818.2167968799999</c:v>
                </c:pt>
                <c:pt idx="5">
                  <c:v>2686.2336425799999</c:v>
                </c:pt>
                <c:pt idx="6">
                  <c:v>2585.2856445299999</c:v>
                </c:pt>
                <c:pt idx="7">
                  <c:v>2429.2712402299999</c:v>
                </c:pt>
                <c:pt idx="8">
                  <c:v>2238.2409668</c:v>
                </c:pt>
                <c:pt idx="9">
                  <c:v>2176.1313476599998</c:v>
                </c:pt>
                <c:pt idx="10">
                  <c:v>2162.6936035200001</c:v>
                </c:pt>
                <c:pt idx="11">
                  <c:v>2122.2141113299999</c:v>
                </c:pt>
                <c:pt idx="12">
                  <c:v>2035.1241455100001</c:v>
                </c:pt>
                <c:pt idx="13">
                  <c:v>1902.74255371</c:v>
                </c:pt>
                <c:pt idx="14">
                  <c:v>1807.7528076200001</c:v>
                </c:pt>
                <c:pt idx="15">
                  <c:v>1759.0534668</c:v>
                </c:pt>
                <c:pt idx="16">
                  <c:v>1710.6140136700001</c:v>
                </c:pt>
                <c:pt idx="17">
                  <c:v>1577.5518798799999</c:v>
                </c:pt>
                <c:pt idx="18">
                  <c:v>1526.9757080100001</c:v>
                </c:pt>
                <c:pt idx="19">
                  <c:v>1340.0395507799999</c:v>
                </c:pt>
                <c:pt idx="20">
                  <c:v>1159.1307373</c:v>
                </c:pt>
                <c:pt idx="21">
                  <c:v>1113.4626464800001</c:v>
                </c:pt>
                <c:pt idx="22">
                  <c:v>995.80053710899995</c:v>
                </c:pt>
                <c:pt idx="23">
                  <c:v>954.46228027300003</c:v>
                </c:pt>
                <c:pt idx="24">
                  <c:v>915.71697998000002</c:v>
                </c:pt>
                <c:pt idx="25">
                  <c:v>887.72674560500002</c:v>
                </c:pt>
                <c:pt idx="26">
                  <c:v>821.85357666000004</c:v>
                </c:pt>
                <c:pt idx="27">
                  <c:v>759</c:v>
                </c:pt>
                <c:pt idx="28">
                  <c:v>698</c:v>
                </c:pt>
                <c:pt idx="29">
                  <c:v>671</c:v>
                </c:pt>
                <c:pt idx="30">
                  <c:v>613</c:v>
                </c:pt>
                <c:pt idx="31">
                  <c:v>584</c:v>
                </c:pt>
                <c:pt idx="32">
                  <c:v>506.78582763700001</c:v>
                </c:pt>
                <c:pt idx="33">
                  <c:v>459.41976928700001</c:v>
                </c:pt>
                <c:pt idx="34">
                  <c:v>436.990478516</c:v>
                </c:pt>
                <c:pt idx="35">
                  <c:v>396.48348999000001</c:v>
                </c:pt>
                <c:pt idx="36">
                  <c:v>377.78582763700001</c:v>
                </c:pt>
                <c:pt idx="37">
                  <c:v>343.36782836899999</c:v>
                </c:pt>
                <c:pt idx="38">
                  <c:v>316</c:v>
                </c:pt>
                <c:pt idx="39">
                  <c:v>303.63504028300002</c:v>
                </c:pt>
                <c:pt idx="40">
                  <c:v>284.71322631800001</c:v>
                </c:pt>
                <c:pt idx="41">
                  <c:v>294.68939209000001</c:v>
                </c:pt>
              </c:numCache>
            </c:numRef>
          </c:xVal>
          <c:yVal>
            <c:numRef>
              <c:f>soil_234!$AO$2:$AO$43</c:f>
              <c:numCache>
                <c:formatCode>0.00</c:formatCode>
                <c:ptCount val="42"/>
                <c:pt idx="1">
                  <c:v>82.300000000000011</c:v>
                </c:pt>
                <c:pt idx="7">
                  <c:v>18.600000000000001</c:v>
                </c:pt>
                <c:pt idx="8">
                  <c:v>37.1</c:v>
                </c:pt>
                <c:pt idx="9">
                  <c:v>73.099999999999994</c:v>
                </c:pt>
                <c:pt idx="10">
                  <c:v>52.1</c:v>
                </c:pt>
                <c:pt idx="11">
                  <c:v>34</c:v>
                </c:pt>
                <c:pt idx="12">
                  <c:v>70.8</c:v>
                </c:pt>
                <c:pt idx="13">
                  <c:v>67.400000000000006</c:v>
                </c:pt>
                <c:pt idx="14">
                  <c:v>97.702297702297713</c:v>
                </c:pt>
                <c:pt idx="15">
                  <c:v>97.7</c:v>
                </c:pt>
                <c:pt idx="16">
                  <c:v>85</c:v>
                </c:pt>
                <c:pt idx="17">
                  <c:v>82.582582582582575</c:v>
                </c:pt>
                <c:pt idx="18">
                  <c:v>89.8</c:v>
                </c:pt>
                <c:pt idx="19">
                  <c:v>78.900000000000006</c:v>
                </c:pt>
                <c:pt idx="20">
                  <c:v>19.600000000000001</c:v>
                </c:pt>
                <c:pt idx="21">
                  <c:v>88.411588411588426</c:v>
                </c:pt>
                <c:pt idx="22">
                  <c:v>66.2</c:v>
                </c:pt>
                <c:pt idx="23">
                  <c:v>93.300000000000011</c:v>
                </c:pt>
                <c:pt idx="24">
                  <c:v>82.417582417582423</c:v>
                </c:pt>
                <c:pt idx="25">
                  <c:v>63.1</c:v>
                </c:pt>
                <c:pt idx="26">
                  <c:v>63.3</c:v>
                </c:pt>
                <c:pt idx="27">
                  <c:v>35.199999999999996</c:v>
                </c:pt>
                <c:pt idx="28">
                  <c:v>46.6</c:v>
                </c:pt>
                <c:pt idx="29">
                  <c:v>19.900000000000002</c:v>
                </c:pt>
                <c:pt idx="30">
                  <c:v>48.3</c:v>
                </c:pt>
                <c:pt idx="31">
                  <c:v>54.400000000000006</c:v>
                </c:pt>
                <c:pt idx="32">
                  <c:v>44.500000000000007</c:v>
                </c:pt>
                <c:pt idx="33">
                  <c:v>42.699999999999996</c:v>
                </c:pt>
                <c:pt idx="34">
                  <c:v>47.099999999999994</c:v>
                </c:pt>
                <c:pt idx="35">
                  <c:v>48.4</c:v>
                </c:pt>
                <c:pt idx="36">
                  <c:v>26.573426573426573</c:v>
                </c:pt>
                <c:pt idx="37">
                  <c:v>52.6</c:v>
                </c:pt>
                <c:pt idx="38">
                  <c:v>24.175824175824172</c:v>
                </c:pt>
                <c:pt idx="39">
                  <c:v>48.199999999999996</c:v>
                </c:pt>
                <c:pt idx="40">
                  <c:v>58.9</c:v>
                </c:pt>
                <c:pt idx="41">
                  <c:v>47.952047952047941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52-3E47-B446-79D736A59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166799"/>
        <c:axId val="75019632"/>
      </c:scatterChart>
      <c:valAx>
        <c:axId val="1258166799"/>
        <c:scaling>
          <c:orientation val="minMax"/>
          <c:max val="3250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9632"/>
        <c:crosses val="autoZero"/>
        <c:crossBetween val="midCat"/>
      </c:valAx>
      <c:valAx>
        <c:axId val="7501963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Mn Composition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166799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5460665216359012E-3"/>
          <c:y val="0.88168061023622046"/>
          <c:w val="0.98801776306079092"/>
          <c:h val="9.1533675478065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180975</xdr:colOff>
      <xdr:row>0</xdr:row>
      <xdr:rowOff>160337</xdr:rowOff>
    </xdr:from>
    <xdr:to>
      <xdr:col>49</xdr:col>
      <xdr:colOff>0</xdr:colOff>
      <xdr:row>23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FF37D-BF6D-A4E2-AE36-C6E32D4DF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660400</xdr:colOff>
      <xdr:row>36</xdr:row>
      <xdr:rowOff>0</xdr:rowOff>
    </xdr:from>
    <xdr:to>
      <xdr:col>49</xdr:col>
      <xdr:colOff>479425</xdr:colOff>
      <xdr:row>62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4366FA-3972-BF46-8CCD-B03E7D4D8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34129</xdr:colOff>
      <xdr:row>3</xdr:row>
      <xdr:rowOff>165100</xdr:rowOff>
    </xdr:from>
    <xdr:to>
      <xdr:col>17</xdr:col>
      <xdr:colOff>449261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8EA20-5AF5-E604-F9A6-6CE7E35B0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577850</xdr:colOff>
      <xdr:row>1</xdr:row>
      <xdr:rowOff>0</xdr:rowOff>
    </xdr:from>
    <xdr:to>
      <xdr:col>35</xdr:col>
      <xdr:colOff>292100</xdr:colOff>
      <xdr:row>25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75CEDA-FAD4-C71F-C70E-67FFE2296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17</xdr:col>
      <xdr:colOff>415132</xdr:colOff>
      <xdr:row>48</xdr:row>
      <xdr:rowOff>153987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05FA63-8F10-7A40-9989-E976DC61F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406400</xdr:colOff>
      <xdr:row>43</xdr:row>
      <xdr:rowOff>88900</xdr:rowOff>
    </xdr:from>
    <xdr:to>
      <xdr:col>31</xdr:col>
      <xdr:colOff>215900</xdr:colOff>
      <xdr:row>68</xdr:row>
      <xdr:rowOff>25400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DDE38EA8-A44F-4264-9D1E-D45E6A143D29}"/>
            </a:ext>
          </a:extLst>
        </xdr:cNvPr>
        <xdr:cNvGrpSpPr/>
      </xdr:nvGrpSpPr>
      <xdr:grpSpPr>
        <a:xfrm>
          <a:off x="16471900" y="8293100"/>
          <a:ext cx="5194300" cy="4699000"/>
          <a:chOff x="15214600" y="8280400"/>
          <a:chExt cx="5194300" cy="4699000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EE96251E-4857-D74E-8EC8-D1FACF4382EE}"/>
              </a:ext>
            </a:extLst>
          </xdr:cNvPr>
          <xdr:cNvGraphicFramePr>
            <a:graphicFrameLocks/>
          </xdr:cNvGraphicFramePr>
        </xdr:nvGraphicFramePr>
        <xdr:xfrm>
          <a:off x="15214600" y="10071100"/>
          <a:ext cx="4978400" cy="2908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B5FA9014-9801-C4AE-E5F7-4DF93302A119}"/>
              </a:ext>
            </a:extLst>
          </xdr:cNvPr>
          <xdr:cNvGraphicFramePr/>
        </xdr:nvGraphicFramePr>
        <xdr:xfrm>
          <a:off x="15519400" y="8280400"/>
          <a:ext cx="4672584" cy="2260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1CABF9B-D6C7-17DB-34DC-07B258DD61D5}"/>
              </a:ext>
            </a:extLst>
          </xdr:cNvPr>
          <xdr:cNvSpPr txBox="1"/>
        </xdr:nvSpPr>
        <xdr:spPr>
          <a:xfrm>
            <a:off x="16687800" y="9588500"/>
            <a:ext cx="2743200" cy="660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r>
              <a:rPr lang="en-US" sz="1600" b="0"/>
              <a:t>Mean Annual Precipitation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CD6D3FFA-14C2-FC49-AAD8-71E61AF7F2BA}"/>
              </a:ext>
            </a:extLst>
          </xdr:cNvPr>
          <xdr:cNvSpPr txBox="1"/>
        </xdr:nvSpPr>
        <xdr:spPr>
          <a:xfrm>
            <a:off x="17792700" y="10388600"/>
            <a:ext cx="1358900" cy="660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r>
              <a:rPr lang="en-US" sz="1600" b="0">
                <a:solidFill>
                  <a:schemeClr val="bg1"/>
                </a:solidFill>
              </a:rPr>
              <a:t>Mn(IV)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1BDEB791-4E03-764E-9C76-004676581CBA}"/>
              </a:ext>
            </a:extLst>
          </xdr:cNvPr>
          <xdr:cNvSpPr txBox="1"/>
        </xdr:nvSpPr>
        <xdr:spPr>
          <a:xfrm>
            <a:off x="18884900" y="12179300"/>
            <a:ext cx="1358900" cy="660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r>
              <a:rPr lang="en-US" sz="1600" b="0">
                <a:solidFill>
                  <a:schemeClr val="tx1"/>
                </a:solidFill>
              </a:rPr>
              <a:t>Mn(II)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29DE2187-CFB2-A24D-8B69-A74606C2070D}"/>
              </a:ext>
            </a:extLst>
          </xdr:cNvPr>
          <xdr:cNvSpPr txBox="1"/>
        </xdr:nvSpPr>
        <xdr:spPr>
          <a:xfrm>
            <a:off x="15824200" y="11798300"/>
            <a:ext cx="1358900" cy="660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r>
              <a:rPr lang="en-US" sz="1600" b="0">
                <a:solidFill>
                  <a:schemeClr val="tx1"/>
                </a:solidFill>
              </a:rPr>
              <a:t>Mn(III)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83A4CEE5-A2DC-5A49-896B-495BF76993EA}"/>
              </a:ext>
            </a:extLst>
          </xdr:cNvPr>
          <xdr:cNvSpPr txBox="1"/>
        </xdr:nvSpPr>
        <xdr:spPr>
          <a:xfrm>
            <a:off x="15379700" y="9779000"/>
            <a:ext cx="1358900" cy="660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r>
              <a:rPr lang="en-US" sz="1200" b="0">
                <a:solidFill>
                  <a:schemeClr val="tx1"/>
                </a:solidFill>
              </a:rPr>
              <a:t>250 mm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C8490DD-4318-514C-8BFC-0A98C542192B}"/>
              </a:ext>
            </a:extLst>
          </xdr:cNvPr>
          <xdr:cNvSpPr txBox="1"/>
        </xdr:nvSpPr>
        <xdr:spPr>
          <a:xfrm>
            <a:off x="19050000" y="9779000"/>
            <a:ext cx="1358900" cy="660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r>
              <a:rPr lang="en-US" sz="1200" b="0">
                <a:solidFill>
                  <a:schemeClr val="tx1"/>
                </a:solidFill>
              </a:rPr>
              <a:t>3250 mm</a:t>
            </a:r>
          </a:p>
        </xdr:txBody>
      </xdr:sp>
    </xdr:grpSp>
    <xdr:clientData/>
  </xdr:twoCellAnchor>
  <xdr:twoCellAnchor>
    <xdr:from>
      <xdr:col>24</xdr:col>
      <xdr:colOff>0</xdr:colOff>
      <xdr:row>26</xdr:row>
      <xdr:rowOff>0</xdr:rowOff>
    </xdr:from>
    <xdr:to>
      <xdr:col>35</xdr:col>
      <xdr:colOff>387350</xdr:colOff>
      <xdr:row>40</xdr:row>
      <xdr:rowOff>177800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C4DD665-C9CD-164D-9BCA-C76F94F6D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47777C-5CA1-9C47-9656-CA7C16331803}" name="Table2" displayName="Table2" ref="AB34:AI66" totalsRowCount="1" headerRowDxfId="12">
  <autoFilter ref="AB34:AI65" xr:uid="{1847777C-5CA1-9C47-9656-CA7C16331803}"/>
  <sortState xmlns:xlrd2="http://schemas.microsoft.com/office/spreadsheetml/2017/richdata2" ref="AB35:AI65">
    <sortCondition descending="1" ref="AD34:AD65"/>
  </sortState>
  <tableColumns count="8">
    <tableColumn id="1" xr3:uid="{D3B33403-87B4-6343-8274-0263A49E71D3}" name="Date"/>
    <tableColumn id="2" xr3:uid="{820C8793-AEDA-8447-8264-BEA6812F134B}" name="MAP" dataDxfId="11" totalsRowDxfId="10"/>
    <tableColumn id="3" xr3:uid="{D11F5685-AB52-D64D-BAEF-3DC17BA0BCD4}" name="Puanui Site"/>
    <tableColumn id="4" xr3:uid="{47E4DCD8-BA21-A04A-8336-4C3536FB004F}" name="Mn(II)" totalsRowFunction="custom" dataDxfId="9" totalsRowDxfId="8">
      <totalsRowFormula>SUM(Table2[[Mn(II)]:[Mn(II/III)]])</totalsRowFormula>
    </tableColumn>
    <tableColumn id="5" xr3:uid="{82234BE2-EA64-F246-8E7E-2651D382FA11}" name="Mn(II/III)" dataDxfId="7" totalsRowDxfId="6"/>
    <tableColumn id="6" xr3:uid="{66C9B962-0D93-3741-9116-2CF7F3320EFE}" name="Mn(III)" totalsRowFunction="custom" dataDxfId="5" totalsRowDxfId="4">
      <totalsRowFormula>SUM(Table2[[Mn(II/III)]:[Mn(III/IV)]])</totalsRowFormula>
    </tableColumn>
    <tableColumn id="7" xr3:uid="{FB7DFFF6-99A1-0D44-A667-4D84DF6F005F}" name="Mn(III/IV)" dataDxfId="3" totalsRowDxfId="2"/>
    <tableColumn id="8" xr3:uid="{33DB473E-6A24-244F-8834-430E7B305BE6}" name="Mn(IV)" totalsRowFunction="custom" dataDxfId="1" totalsRowDxfId="0">
      <totalsRowFormula>SUM(Table2[[Mn(III/IV)]:[Mn(IV)]])</totalsRow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03169-EFD6-9043-AF31-E532CE4128F5}" name="Table1" displayName="Table1" ref="AK1:AO43" totalsRowShown="0" headerRowDxfId="17">
  <autoFilter ref="AK1:AO43" xr:uid="{8D603169-EFD6-9043-AF31-E532CE4128F5}"/>
  <sortState xmlns:xlrd2="http://schemas.microsoft.com/office/spreadsheetml/2017/richdata2" ref="AK2:AO43">
    <sortCondition ref="AK1:AK43"/>
  </sortState>
  <tableColumns count="5">
    <tableColumn id="1" xr3:uid="{1A21C578-3D6E-A343-9FDD-14075BCA3903}" name="Puanui Site"/>
    <tableColumn id="2" xr3:uid="{0A0B14E8-08AD-0C47-81D6-DE31FC192EEC}" name="MAP" dataDxfId="16"/>
    <tableColumn id="3" xr3:uid="{70A45000-7807-124C-9D0F-15F78EA0AFC0}" name="Mn(II)" dataDxfId="15"/>
    <tableColumn id="4" xr3:uid="{195D0249-7D26-8C4A-9744-F94775068DD2}" name="Mn(III)" dataDxfId="14"/>
    <tableColumn id="5" xr3:uid="{ABA8F121-4465-7348-9F5B-C4B0F6201A6C}" name="Mn(IV)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2F84-86BB-4B33-A83B-211B392916F8}">
  <sheetPr codeName="Sheet1"/>
  <dimension ref="A1:AI66"/>
  <sheetViews>
    <sheetView zoomScale="95" workbookViewId="0">
      <selection activeCell="J2" sqref="J2"/>
    </sheetView>
  </sheetViews>
  <sheetFormatPr baseColWidth="10" defaultColWidth="8.83203125" defaultRowHeight="15" x14ac:dyDescent="0.2"/>
  <cols>
    <col min="3" max="3" width="11.1640625" customWidth="1"/>
    <col min="12" max="12" width="11" customWidth="1"/>
    <col min="30" max="30" width="12.1640625" customWidth="1"/>
    <col min="32" max="32" width="10.6640625" customWidth="1"/>
    <col min="34" max="34" width="10.6640625" customWidth="1"/>
  </cols>
  <sheetData>
    <row r="1" spans="1:35" x14ac:dyDescent="0.2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S1" s="1" t="s">
        <v>7</v>
      </c>
      <c r="T1" s="1" t="s">
        <v>0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  <c r="AB1" s="1" t="s">
        <v>7</v>
      </c>
      <c r="AC1" s="1" t="s">
        <v>0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5</v>
      </c>
      <c r="AI1" s="1" t="s">
        <v>6</v>
      </c>
    </row>
    <row r="2" spans="1:35" x14ac:dyDescent="0.2">
      <c r="A2">
        <v>202112</v>
      </c>
      <c r="B2" s="2">
        <v>294.68939209000001</v>
      </c>
      <c r="C2">
        <v>46</v>
      </c>
      <c r="D2" s="3"/>
      <c r="E2" s="3">
        <v>26.1</v>
      </c>
      <c r="F2" s="3">
        <v>36.299999999999997</v>
      </c>
      <c r="G2" s="3"/>
      <c r="H2" s="3">
        <v>37.6</v>
      </c>
      <c r="I2" s="3"/>
      <c r="J2">
        <v>202112</v>
      </c>
      <c r="K2" s="2">
        <v>3237.9897460900002</v>
      </c>
      <c r="L2">
        <v>1</v>
      </c>
      <c r="M2" s="3">
        <v>57.8</v>
      </c>
      <c r="N2" s="3">
        <v>42.199999999999996</v>
      </c>
      <c r="O2" s="3"/>
      <c r="P2" s="3"/>
      <c r="Q2" s="3"/>
      <c r="S2">
        <v>202103</v>
      </c>
      <c r="T2" s="2">
        <v>3123.3532714799999</v>
      </c>
      <c r="U2" t="s">
        <v>8</v>
      </c>
      <c r="V2" s="3">
        <v>47.1</v>
      </c>
      <c r="W2" s="3">
        <v>52.900000000000006</v>
      </c>
      <c r="X2" s="3"/>
      <c r="Y2" s="3"/>
      <c r="Z2" s="3"/>
      <c r="AB2">
        <v>202112</v>
      </c>
      <c r="AC2" s="2">
        <v>3237.9897460900002</v>
      </c>
      <c r="AD2">
        <v>1</v>
      </c>
      <c r="AE2" s="3">
        <v>57.8</v>
      </c>
      <c r="AF2" s="3">
        <v>42.199999999999996</v>
      </c>
      <c r="AG2" s="3"/>
      <c r="AH2" s="3"/>
      <c r="AI2" s="3"/>
    </row>
    <row r="3" spans="1:35" x14ac:dyDescent="0.2">
      <c r="A3">
        <v>202112</v>
      </c>
      <c r="B3" s="2">
        <v>316</v>
      </c>
      <c r="C3">
        <v>43</v>
      </c>
      <c r="D3" s="3"/>
      <c r="E3" s="3">
        <v>45.9</v>
      </c>
      <c r="F3" s="3"/>
      <c r="G3" s="3">
        <v>29.5</v>
      </c>
      <c r="H3" s="3">
        <v>24.6</v>
      </c>
      <c r="I3" s="3"/>
      <c r="J3">
        <v>202112</v>
      </c>
      <c r="K3" s="2">
        <v>2916.2229003900002</v>
      </c>
      <c r="L3">
        <v>4</v>
      </c>
      <c r="M3" s="3">
        <v>41.199999999999996</v>
      </c>
      <c r="N3" s="3">
        <v>58.8</v>
      </c>
      <c r="O3" s="3"/>
      <c r="P3" s="3"/>
      <c r="Q3" s="3"/>
      <c r="S3">
        <v>202103</v>
      </c>
      <c r="T3" s="2">
        <v>3123.3532714799999</v>
      </c>
      <c r="U3" t="s">
        <v>9</v>
      </c>
      <c r="V3" s="3">
        <v>9</v>
      </c>
      <c r="W3" s="3">
        <v>23.5</v>
      </c>
      <c r="X3" s="3"/>
      <c r="Y3" s="3">
        <v>67.5</v>
      </c>
      <c r="Z3" s="3"/>
      <c r="AB3">
        <v>202103</v>
      </c>
      <c r="AC3" s="2">
        <v>3123.3532714799999</v>
      </c>
      <c r="AD3">
        <v>2</v>
      </c>
      <c r="AE3" s="3">
        <v>9</v>
      </c>
      <c r="AF3" s="3">
        <v>23.5</v>
      </c>
      <c r="AG3" s="3"/>
      <c r="AH3" s="3">
        <v>67.5</v>
      </c>
      <c r="AI3" s="3"/>
    </row>
    <row r="4" spans="1:35" x14ac:dyDescent="0.2">
      <c r="A4">
        <v>202112</v>
      </c>
      <c r="B4" s="2">
        <v>377.78582763700001</v>
      </c>
      <c r="C4">
        <v>41</v>
      </c>
      <c r="D4" s="3"/>
      <c r="E4" s="3">
        <v>43.6</v>
      </c>
      <c r="F4" s="3">
        <v>26.3</v>
      </c>
      <c r="G4" s="3">
        <v>30.099999999999998</v>
      </c>
      <c r="H4" s="3"/>
      <c r="I4" s="3"/>
      <c r="J4">
        <v>202112</v>
      </c>
      <c r="K4" s="2">
        <v>2818.2167968799999</v>
      </c>
      <c r="L4">
        <v>5</v>
      </c>
      <c r="M4" s="3">
        <v>38.700000000000003</v>
      </c>
      <c r="N4" s="3">
        <v>61.3</v>
      </c>
      <c r="O4" s="3"/>
      <c r="P4" s="3"/>
      <c r="Q4" s="3"/>
      <c r="S4">
        <v>202103</v>
      </c>
      <c r="T4" s="2">
        <v>2238.2409668</v>
      </c>
      <c r="U4" t="s">
        <v>10</v>
      </c>
      <c r="V4" s="3"/>
      <c r="W4" s="3">
        <v>67.300000000000011</v>
      </c>
      <c r="X4" s="3">
        <v>18.2</v>
      </c>
      <c r="Y4" s="3">
        <v>14.499999999999998</v>
      </c>
      <c r="Z4" s="3"/>
      <c r="AB4">
        <v>202112</v>
      </c>
      <c r="AC4" s="2">
        <v>2916.2229003900002</v>
      </c>
      <c r="AD4">
        <v>4</v>
      </c>
      <c r="AE4" s="3">
        <v>41.199999999999996</v>
      </c>
      <c r="AF4" s="3">
        <v>58.8</v>
      </c>
      <c r="AG4" s="3"/>
      <c r="AH4" s="3"/>
      <c r="AI4" s="3"/>
    </row>
    <row r="5" spans="1:35" x14ac:dyDescent="0.2">
      <c r="A5">
        <v>202112</v>
      </c>
      <c r="B5" s="2">
        <v>396.48348999000001</v>
      </c>
      <c r="C5">
        <v>40</v>
      </c>
      <c r="D5" s="3"/>
      <c r="E5" s="3">
        <v>36.9</v>
      </c>
      <c r="F5" s="3">
        <v>28.799999999999997</v>
      </c>
      <c r="G5" s="3"/>
      <c r="H5" s="3">
        <v>34.300000000000004</v>
      </c>
      <c r="I5" s="3"/>
      <c r="J5">
        <v>202112</v>
      </c>
      <c r="K5" s="2">
        <v>2585.2856445299999</v>
      </c>
      <c r="L5">
        <v>7</v>
      </c>
      <c r="M5" s="3">
        <v>37</v>
      </c>
      <c r="N5" s="3">
        <v>63</v>
      </c>
      <c r="O5" s="3"/>
      <c r="P5" s="3"/>
      <c r="Q5" s="3"/>
      <c r="S5">
        <v>202103</v>
      </c>
      <c r="T5" s="2">
        <v>2238.2409668</v>
      </c>
      <c r="U5" t="s">
        <v>11</v>
      </c>
      <c r="V5" s="3">
        <v>3.1</v>
      </c>
      <c r="W5" s="3">
        <v>48.699999999999996</v>
      </c>
      <c r="X5" s="3"/>
      <c r="Y5" s="3">
        <v>48.199999999999996</v>
      </c>
      <c r="Z5" s="3"/>
      <c r="AB5">
        <v>202112</v>
      </c>
      <c r="AC5" s="2">
        <v>2818.2167968799999</v>
      </c>
      <c r="AD5">
        <v>5</v>
      </c>
      <c r="AE5" s="3">
        <v>38.700000000000003</v>
      </c>
      <c r="AF5" s="3">
        <v>61.3</v>
      </c>
      <c r="AG5" s="3"/>
      <c r="AH5" s="3"/>
      <c r="AI5" s="3"/>
    </row>
    <row r="6" spans="1:35" x14ac:dyDescent="0.2">
      <c r="A6">
        <v>202112</v>
      </c>
      <c r="B6" s="2">
        <v>459.41976928700001</v>
      </c>
      <c r="C6">
        <v>38</v>
      </c>
      <c r="D6" s="3"/>
      <c r="E6" s="3">
        <v>50.350350350350347</v>
      </c>
      <c r="F6" s="3">
        <v>16.716716716716714</v>
      </c>
      <c r="G6" s="3">
        <v>32.932932932932928</v>
      </c>
      <c r="H6" s="3"/>
      <c r="I6" s="3"/>
      <c r="J6">
        <v>202112</v>
      </c>
      <c r="K6" s="2">
        <v>2429.2712402299999</v>
      </c>
      <c r="L6">
        <v>8</v>
      </c>
      <c r="M6" s="3">
        <v>18.7</v>
      </c>
      <c r="N6" s="3">
        <v>50.4</v>
      </c>
      <c r="O6" s="3"/>
      <c r="P6" s="3">
        <v>30.9</v>
      </c>
      <c r="Q6" s="3"/>
      <c r="S6">
        <v>202103</v>
      </c>
      <c r="T6" s="2">
        <v>1289.3337402300001</v>
      </c>
      <c r="U6" t="s">
        <v>12</v>
      </c>
      <c r="V6" s="3">
        <v>33.300000000000004</v>
      </c>
      <c r="W6" s="3">
        <v>16.100000000000001</v>
      </c>
      <c r="X6" s="3"/>
      <c r="Y6" s="3"/>
      <c r="Z6" s="3">
        <v>50.6</v>
      </c>
      <c r="AB6">
        <v>202112</v>
      </c>
      <c r="AC6" s="2">
        <v>2585.2856445299999</v>
      </c>
      <c r="AD6">
        <v>7</v>
      </c>
      <c r="AE6" s="3">
        <v>37</v>
      </c>
      <c r="AF6" s="3">
        <v>63</v>
      </c>
      <c r="AG6" s="3"/>
      <c r="AH6" s="3"/>
      <c r="AI6" s="3"/>
    </row>
    <row r="7" spans="1:35" x14ac:dyDescent="0.2">
      <c r="A7">
        <v>202112</v>
      </c>
      <c r="B7" s="2">
        <v>506.78582763700001</v>
      </c>
      <c r="C7">
        <v>37</v>
      </c>
      <c r="D7" s="3"/>
      <c r="E7" s="3">
        <v>41.6</v>
      </c>
      <c r="F7" s="3">
        <v>25.4</v>
      </c>
      <c r="G7" s="3"/>
      <c r="H7" s="3">
        <v>33</v>
      </c>
      <c r="I7" s="3"/>
      <c r="J7">
        <v>202112</v>
      </c>
      <c r="K7" s="2">
        <v>2238.2409668</v>
      </c>
      <c r="L7">
        <v>10</v>
      </c>
      <c r="M7" s="3"/>
      <c r="N7" s="3">
        <v>67.600000000000009</v>
      </c>
      <c r="O7" s="3">
        <v>9.3000000000000007</v>
      </c>
      <c r="P7" s="3">
        <v>23.1</v>
      </c>
      <c r="Q7" s="3"/>
      <c r="S7">
        <v>202103</v>
      </c>
      <c r="T7" s="2">
        <v>1289.3337402300001</v>
      </c>
      <c r="U7" t="s">
        <v>13</v>
      </c>
      <c r="V7" s="3"/>
      <c r="W7" s="3">
        <v>35.299999999999997</v>
      </c>
      <c r="X7" s="3"/>
      <c r="Y7" s="3">
        <v>64.7</v>
      </c>
      <c r="Z7" s="3"/>
      <c r="AB7">
        <v>202112</v>
      </c>
      <c r="AC7" s="2">
        <v>2429.2712402299999</v>
      </c>
      <c r="AD7">
        <v>8</v>
      </c>
      <c r="AE7" s="3">
        <v>18.7</v>
      </c>
      <c r="AF7" s="3">
        <v>50.4</v>
      </c>
      <c r="AG7" s="3"/>
      <c r="AH7" s="3">
        <v>30.9</v>
      </c>
      <c r="AI7" s="3"/>
    </row>
    <row r="8" spans="1:35" x14ac:dyDescent="0.2">
      <c r="A8">
        <v>202112</v>
      </c>
      <c r="B8" s="2">
        <v>887.72674560500002</v>
      </c>
      <c r="C8">
        <v>35</v>
      </c>
      <c r="D8" s="3"/>
      <c r="E8" s="3">
        <v>33.900000000000006</v>
      </c>
      <c r="F8" s="3"/>
      <c r="G8" s="3">
        <v>37.4</v>
      </c>
      <c r="H8" s="3">
        <v>28.7</v>
      </c>
      <c r="I8" s="3"/>
      <c r="J8">
        <v>202112</v>
      </c>
      <c r="K8" s="2">
        <v>2162.6936035200001</v>
      </c>
      <c r="L8">
        <v>12</v>
      </c>
      <c r="M8" s="3"/>
      <c r="N8" s="3">
        <v>18.3</v>
      </c>
      <c r="O8" s="3">
        <v>37.200000000000003</v>
      </c>
      <c r="P8" s="3">
        <v>44.5</v>
      </c>
      <c r="Q8" s="3"/>
      <c r="S8">
        <v>202103</v>
      </c>
      <c r="T8" s="2">
        <v>995.80053710899995</v>
      </c>
      <c r="U8" t="s">
        <v>14</v>
      </c>
      <c r="V8" s="3"/>
      <c r="W8" s="3">
        <v>44.3</v>
      </c>
      <c r="X8" s="3">
        <v>25.2</v>
      </c>
      <c r="Y8" s="3">
        <v>30.5</v>
      </c>
      <c r="Z8" s="3"/>
      <c r="AB8">
        <v>202112</v>
      </c>
      <c r="AC8" s="2">
        <v>2238.2409668</v>
      </c>
      <c r="AD8">
        <v>10</v>
      </c>
      <c r="AE8" s="3"/>
      <c r="AF8" s="3">
        <v>67.600000000000009</v>
      </c>
      <c r="AG8" s="3">
        <v>9.3000000000000007</v>
      </c>
      <c r="AH8" s="3">
        <v>23.1</v>
      </c>
      <c r="AI8" s="3"/>
    </row>
    <row r="9" spans="1:35" x14ac:dyDescent="0.2">
      <c r="A9">
        <v>202112</v>
      </c>
      <c r="B9" s="2">
        <v>915.71697998000002</v>
      </c>
      <c r="C9">
        <v>34</v>
      </c>
      <c r="D9" s="3"/>
      <c r="E9" s="3">
        <v>57.557557557557551</v>
      </c>
      <c r="F9" s="3"/>
      <c r="G9" s="3">
        <v>16.216216216216218</v>
      </c>
      <c r="H9" s="3">
        <v>26.226226226226228</v>
      </c>
      <c r="I9" s="3"/>
      <c r="J9">
        <v>202112</v>
      </c>
      <c r="K9" s="2">
        <v>2122.2141113299999</v>
      </c>
      <c r="L9">
        <v>13</v>
      </c>
      <c r="M9" s="3"/>
      <c r="N9" s="3">
        <v>43.443443443443449</v>
      </c>
      <c r="O9" s="3">
        <v>23.823823823823826</v>
      </c>
      <c r="P9" s="3">
        <v>32.732732732732742</v>
      </c>
      <c r="Q9" s="3"/>
      <c r="S9">
        <v>202103</v>
      </c>
      <c r="T9" s="2">
        <v>995.80053710899995</v>
      </c>
      <c r="U9" t="s">
        <v>15</v>
      </c>
      <c r="V9" s="3"/>
      <c r="W9" s="3">
        <v>46.046046046046044</v>
      </c>
      <c r="X9" s="3">
        <v>24.324324324324323</v>
      </c>
      <c r="Y9" s="3">
        <v>29.629629629629626</v>
      </c>
      <c r="Z9" s="3"/>
      <c r="AB9">
        <v>202112</v>
      </c>
      <c r="AC9" s="2">
        <v>2162.6936035200001</v>
      </c>
      <c r="AD9">
        <v>12</v>
      </c>
      <c r="AE9" s="3"/>
      <c r="AF9" s="3">
        <v>18.3</v>
      </c>
      <c r="AG9" s="3">
        <v>37.200000000000003</v>
      </c>
      <c r="AH9" s="3">
        <v>44.5</v>
      </c>
      <c r="AI9" s="3"/>
    </row>
    <row r="10" spans="1:35" x14ac:dyDescent="0.2">
      <c r="A10">
        <v>202112</v>
      </c>
      <c r="B10" s="2">
        <v>821.85357666000004</v>
      </c>
      <c r="C10">
        <v>31</v>
      </c>
      <c r="D10" s="3"/>
      <c r="E10" s="3">
        <v>37.837837837837839</v>
      </c>
      <c r="F10" s="3"/>
      <c r="G10" s="3">
        <v>35.035035035035037</v>
      </c>
      <c r="H10" s="3">
        <v>27.127127127127125</v>
      </c>
      <c r="I10" s="3"/>
      <c r="J10">
        <v>202112</v>
      </c>
      <c r="K10" s="2">
        <v>2035.1241455100001</v>
      </c>
      <c r="L10">
        <v>14</v>
      </c>
      <c r="M10" s="3"/>
      <c r="N10" s="3">
        <v>32.5</v>
      </c>
      <c r="O10" s="3"/>
      <c r="P10" s="3">
        <v>39.4</v>
      </c>
      <c r="Q10" s="3">
        <v>28.1</v>
      </c>
      <c r="S10">
        <v>202103</v>
      </c>
      <c r="T10" s="2">
        <v>303.63504028300002</v>
      </c>
      <c r="U10" t="s">
        <v>16</v>
      </c>
      <c r="V10" s="3"/>
      <c r="W10" s="3">
        <v>34.800000000000004</v>
      </c>
      <c r="X10" s="3">
        <v>23.6</v>
      </c>
      <c r="Y10" s="3">
        <v>41.6</v>
      </c>
      <c r="Z10" s="3"/>
      <c r="AB10">
        <v>202112</v>
      </c>
      <c r="AC10" s="2">
        <v>2122.2141113299999</v>
      </c>
      <c r="AD10">
        <v>13</v>
      </c>
      <c r="AE10" s="3"/>
      <c r="AF10" s="3">
        <v>43.443443443443449</v>
      </c>
      <c r="AG10" s="3">
        <v>23.823823823823826</v>
      </c>
      <c r="AH10" s="3">
        <v>32.732732732732742</v>
      </c>
      <c r="AI10" s="3"/>
    </row>
    <row r="11" spans="1:35" x14ac:dyDescent="0.2">
      <c r="A11">
        <v>202112</v>
      </c>
      <c r="B11" s="2">
        <v>915.71697998000002</v>
      </c>
      <c r="C11">
        <v>29</v>
      </c>
      <c r="D11" s="3"/>
      <c r="E11" s="3">
        <v>22</v>
      </c>
      <c r="F11" s="3"/>
      <c r="G11" s="3">
        <v>57.199999999999996</v>
      </c>
      <c r="H11" s="3">
        <v>20.8</v>
      </c>
      <c r="I11" s="3"/>
      <c r="J11">
        <v>202112</v>
      </c>
      <c r="K11" s="2">
        <v>1807.7528076200001</v>
      </c>
      <c r="L11">
        <v>16</v>
      </c>
      <c r="M11" s="3">
        <v>26.8</v>
      </c>
      <c r="N11" s="3">
        <v>1.7000000000000002</v>
      </c>
      <c r="O11" s="3"/>
      <c r="P11" s="3">
        <v>71.5</v>
      </c>
      <c r="Q11" s="3"/>
      <c r="S11">
        <v>202103</v>
      </c>
      <c r="T11" s="2">
        <v>303.63504028300002</v>
      </c>
      <c r="U11" t="s">
        <v>17</v>
      </c>
      <c r="V11" s="3"/>
      <c r="W11" s="3">
        <v>37.9</v>
      </c>
      <c r="X11" s="3">
        <v>23</v>
      </c>
      <c r="Y11" s="3">
        <v>39.1</v>
      </c>
      <c r="Z11" s="3"/>
      <c r="AB11">
        <v>202112</v>
      </c>
      <c r="AC11" s="2">
        <v>2035.1241455100001</v>
      </c>
      <c r="AD11">
        <v>14</v>
      </c>
      <c r="AE11" s="3"/>
      <c r="AF11" s="3">
        <v>32.5</v>
      </c>
      <c r="AG11" s="3"/>
      <c r="AH11" s="3">
        <v>39.4</v>
      </c>
      <c r="AI11" s="3">
        <v>28.1</v>
      </c>
    </row>
    <row r="12" spans="1:35" x14ac:dyDescent="0.2">
      <c r="A12">
        <v>202112</v>
      </c>
      <c r="B12" s="2">
        <v>954.46228027300003</v>
      </c>
      <c r="C12">
        <v>28</v>
      </c>
      <c r="D12" s="3"/>
      <c r="E12" s="3">
        <v>14.299999999999999</v>
      </c>
      <c r="F12" s="3"/>
      <c r="G12" s="3">
        <v>65.7</v>
      </c>
      <c r="H12" s="3">
        <v>20</v>
      </c>
      <c r="I12" s="3"/>
      <c r="J12">
        <v>202112</v>
      </c>
      <c r="K12" s="2">
        <v>1759.0534668</v>
      </c>
      <c r="L12">
        <v>17</v>
      </c>
      <c r="M12" s="3">
        <v>22.8</v>
      </c>
      <c r="N12" s="3"/>
      <c r="O12" s="3"/>
      <c r="P12" s="3">
        <v>51.5</v>
      </c>
      <c r="Q12" s="3">
        <v>25.7</v>
      </c>
      <c r="AB12">
        <v>202112</v>
      </c>
      <c r="AC12" s="2">
        <v>1807.7528076200001</v>
      </c>
      <c r="AD12">
        <v>16</v>
      </c>
      <c r="AE12" s="3">
        <v>26.8</v>
      </c>
      <c r="AF12" s="3">
        <v>1.7000000000000002</v>
      </c>
      <c r="AG12" s="3"/>
      <c r="AH12" s="3">
        <v>71.5</v>
      </c>
      <c r="AI12" s="3"/>
    </row>
    <row r="13" spans="1:35" x14ac:dyDescent="0.2">
      <c r="A13">
        <v>202112</v>
      </c>
      <c r="B13" s="2">
        <v>1113.4626464800001</v>
      </c>
      <c r="C13">
        <v>26</v>
      </c>
      <c r="D13" s="3"/>
      <c r="E13" s="3">
        <v>14.099999999999998</v>
      </c>
      <c r="F13" s="3"/>
      <c r="G13" s="3">
        <v>58.5</v>
      </c>
      <c r="H13" s="3">
        <v>27.400000000000002</v>
      </c>
      <c r="I13" s="3"/>
      <c r="J13">
        <v>202112</v>
      </c>
      <c r="K13" s="2">
        <v>1577.5518798799999</v>
      </c>
      <c r="L13">
        <v>19</v>
      </c>
      <c r="M13" s="3">
        <v>54.1</v>
      </c>
      <c r="N13" s="3">
        <v>22.8</v>
      </c>
      <c r="O13" s="3"/>
      <c r="P13" s="3"/>
      <c r="Q13" s="3">
        <v>23.1</v>
      </c>
      <c r="AB13">
        <v>202112</v>
      </c>
      <c r="AC13" s="2">
        <v>1759.0534668</v>
      </c>
      <c r="AD13">
        <v>17</v>
      </c>
      <c r="AE13" s="3">
        <v>22.8</v>
      </c>
      <c r="AF13" s="3"/>
      <c r="AG13" s="3"/>
      <c r="AH13" s="3">
        <v>51.5</v>
      </c>
      <c r="AI13" s="3">
        <v>25.7</v>
      </c>
    </row>
    <row r="14" spans="1:35" x14ac:dyDescent="0.2">
      <c r="A14">
        <v>202112</v>
      </c>
      <c r="B14" s="2">
        <v>1159.1307373</v>
      </c>
      <c r="C14">
        <v>25</v>
      </c>
      <c r="D14" s="3"/>
      <c r="E14" s="3">
        <v>56.7</v>
      </c>
      <c r="F14" s="3">
        <v>22.300000000000004</v>
      </c>
      <c r="G14" s="3">
        <v>21.000000000000004</v>
      </c>
      <c r="H14" s="3"/>
      <c r="I14" s="3"/>
      <c r="J14">
        <v>202112</v>
      </c>
      <c r="K14" s="2">
        <v>1526.9757080100001</v>
      </c>
      <c r="L14">
        <v>20</v>
      </c>
      <c r="M14" s="3"/>
      <c r="N14" s="3">
        <v>21.8</v>
      </c>
      <c r="O14" s="3"/>
      <c r="P14" s="3">
        <v>51.800000000000004</v>
      </c>
      <c r="Q14" s="3">
        <v>26.400000000000002</v>
      </c>
      <c r="AB14">
        <v>202112</v>
      </c>
      <c r="AC14" s="2">
        <v>1577.5518798799999</v>
      </c>
      <c r="AD14">
        <v>19</v>
      </c>
      <c r="AE14" s="3">
        <v>54.1</v>
      </c>
      <c r="AF14" s="3">
        <v>22.8</v>
      </c>
      <c r="AG14" s="3"/>
      <c r="AH14" s="3"/>
      <c r="AI14" s="3">
        <v>23.1</v>
      </c>
    </row>
    <row r="15" spans="1:35" x14ac:dyDescent="0.2">
      <c r="A15">
        <v>202112</v>
      </c>
      <c r="B15" s="2">
        <v>1340.0395507799999</v>
      </c>
      <c r="C15">
        <v>22</v>
      </c>
      <c r="D15" s="3">
        <v>32.200000000000003</v>
      </c>
      <c r="E15" s="3">
        <v>19.600000000000001</v>
      </c>
      <c r="F15" s="3"/>
      <c r="G15" s="3">
        <v>48.199999999999996</v>
      </c>
      <c r="H15" s="3"/>
      <c r="I15" s="3"/>
      <c r="J15">
        <v>202112</v>
      </c>
      <c r="K15" s="2">
        <v>1340.0395507799999</v>
      </c>
      <c r="L15">
        <v>22</v>
      </c>
      <c r="M15" s="3">
        <v>32.200000000000003</v>
      </c>
      <c r="N15" s="3">
        <v>19.600000000000001</v>
      </c>
      <c r="O15" s="3"/>
      <c r="P15" s="3">
        <v>48.199999999999996</v>
      </c>
      <c r="Q15" s="3"/>
      <c r="AB15">
        <v>202112</v>
      </c>
      <c r="AC15" s="2">
        <v>1526.9757080100001</v>
      </c>
      <c r="AD15">
        <v>20</v>
      </c>
      <c r="AE15" s="3"/>
      <c r="AF15" s="3">
        <v>21.8</v>
      </c>
      <c r="AG15" s="3"/>
      <c r="AH15" s="3">
        <v>51.800000000000004</v>
      </c>
      <c r="AI15" s="3">
        <v>26.400000000000002</v>
      </c>
    </row>
    <row r="16" spans="1:35" x14ac:dyDescent="0.2">
      <c r="A16">
        <v>202112</v>
      </c>
      <c r="B16" s="2">
        <v>1526.9757080100001</v>
      </c>
      <c r="C16">
        <v>20</v>
      </c>
      <c r="D16" s="3"/>
      <c r="E16" s="3">
        <v>21.8</v>
      </c>
      <c r="F16" s="3"/>
      <c r="G16" s="3">
        <v>51.800000000000004</v>
      </c>
      <c r="H16" s="3">
        <v>26.400000000000002</v>
      </c>
      <c r="I16" s="3"/>
      <c r="J16">
        <v>202112</v>
      </c>
      <c r="K16" s="2">
        <v>1159.1307373</v>
      </c>
      <c r="L16">
        <v>25</v>
      </c>
      <c r="M16" s="3"/>
      <c r="N16" s="3">
        <v>56.7</v>
      </c>
      <c r="O16" s="3">
        <v>22.300000000000004</v>
      </c>
      <c r="P16" s="3">
        <v>21.000000000000004</v>
      </c>
      <c r="Q16" s="3"/>
      <c r="AB16">
        <v>202112</v>
      </c>
      <c r="AC16" s="2">
        <v>1340.0395507799999</v>
      </c>
      <c r="AD16">
        <v>22</v>
      </c>
      <c r="AE16" s="3">
        <v>32.200000000000003</v>
      </c>
      <c r="AF16" s="3">
        <v>19.600000000000001</v>
      </c>
      <c r="AG16" s="3"/>
      <c r="AH16" s="3">
        <v>48.199999999999996</v>
      </c>
      <c r="AI16" s="3"/>
    </row>
    <row r="17" spans="1:35" x14ac:dyDescent="0.2">
      <c r="A17">
        <v>202112</v>
      </c>
      <c r="B17" s="2">
        <v>1577.5518798799999</v>
      </c>
      <c r="C17">
        <v>19</v>
      </c>
      <c r="D17" s="3">
        <v>54.1</v>
      </c>
      <c r="E17" s="3">
        <v>22.8</v>
      </c>
      <c r="F17" s="3"/>
      <c r="G17" s="3"/>
      <c r="H17" s="3">
        <v>23.1</v>
      </c>
      <c r="I17" s="3"/>
      <c r="J17">
        <v>202112</v>
      </c>
      <c r="K17" s="2">
        <v>1113.4626464800001</v>
      </c>
      <c r="L17">
        <v>26</v>
      </c>
      <c r="M17" s="3"/>
      <c r="N17" s="3">
        <v>14.099999999999998</v>
      </c>
      <c r="O17" s="3"/>
      <c r="P17" s="3">
        <v>58.5</v>
      </c>
      <c r="Q17" s="3">
        <v>27.400000000000002</v>
      </c>
      <c r="AB17">
        <v>202103</v>
      </c>
      <c r="AC17" s="2">
        <v>1289.3337402300001</v>
      </c>
      <c r="AD17">
        <v>23</v>
      </c>
      <c r="AE17" s="3"/>
      <c r="AF17" s="3">
        <v>35.299999999999997</v>
      </c>
      <c r="AG17" s="3"/>
      <c r="AH17" s="3">
        <v>64.7</v>
      </c>
      <c r="AI17" s="3"/>
    </row>
    <row r="18" spans="1:35" x14ac:dyDescent="0.2">
      <c r="A18">
        <v>202112</v>
      </c>
      <c r="B18" s="2">
        <v>1759.0534668</v>
      </c>
      <c r="C18">
        <v>17</v>
      </c>
      <c r="D18" s="3">
        <v>22.8</v>
      </c>
      <c r="E18" s="3"/>
      <c r="F18" s="3"/>
      <c r="G18" s="3">
        <v>51.5</v>
      </c>
      <c r="H18" s="3">
        <v>25.7</v>
      </c>
      <c r="I18" s="3"/>
      <c r="J18">
        <v>202112</v>
      </c>
      <c r="K18" s="2">
        <v>954.46228027300003</v>
      </c>
      <c r="L18">
        <v>28</v>
      </c>
      <c r="M18" s="3"/>
      <c r="N18" s="3">
        <v>14.299999999999999</v>
      </c>
      <c r="O18" s="3"/>
      <c r="P18" s="3">
        <v>65.7</v>
      </c>
      <c r="Q18" s="3">
        <v>20</v>
      </c>
      <c r="AB18">
        <v>202112</v>
      </c>
      <c r="AC18" s="2">
        <v>1159.1307373</v>
      </c>
      <c r="AD18">
        <v>25</v>
      </c>
      <c r="AE18" s="3"/>
      <c r="AF18" s="3">
        <v>56.7</v>
      </c>
      <c r="AG18" s="3">
        <v>22.300000000000004</v>
      </c>
      <c r="AH18" s="3">
        <v>21.000000000000004</v>
      </c>
      <c r="AI18" s="3"/>
    </row>
    <row r="19" spans="1:35" x14ac:dyDescent="0.2">
      <c r="A19">
        <v>202112</v>
      </c>
      <c r="B19" s="2">
        <v>1807.7528076200001</v>
      </c>
      <c r="C19">
        <v>16</v>
      </c>
      <c r="D19" s="3">
        <v>26.8</v>
      </c>
      <c r="E19" s="3">
        <v>1.7000000000000002</v>
      </c>
      <c r="F19" s="3"/>
      <c r="G19" s="3">
        <v>71.5</v>
      </c>
      <c r="H19" s="3"/>
      <c r="I19" s="3"/>
      <c r="J19">
        <v>202112</v>
      </c>
      <c r="K19" s="2">
        <v>915.71697998000002</v>
      </c>
      <c r="L19">
        <v>29</v>
      </c>
      <c r="M19" s="3"/>
      <c r="N19" s="3">
        <v>22</v>
      </c>
      <c r="O19" s="3"/>
      <c r="P19" s="3">
        <v>57.199999999999996</v>
      </c>
      <c r="Q19" s="3">
        <v>20.8</v>
      </c>
      <c r="AB19">
        <v>202112</v>
      </c>
      <c r="AC19" s="2">
        <v>1113.4626464800001</v>
      </c>
      <c r="AD19">
        <v>26</v>
      </c>
      <c r="AE19" s="3"/>
      <c r="AF19" s="3">
        <v>14.099999999999998</v>
      </c>
      <c r="AG19" s="3"/>
      <c r="AH19" s="3">
        <v>58.5</v>
      </c>
      <c r="AI19" s="3">
        <v>27.400000000000002</v>
      </c>
    </row>
    <row r="20" spans="1:35" x14ac:dyDescent="0.2">
      <c r="A20">
        <v>202112</v>
      </c>
      <c r="B20" s="2">
        <v>2035.1241455100001</v>
      </c>
      <c r="C20">
        <v>14</v>
      </c>
      <c r="D20" s="3"/>
      <c r="E20" s="3">
        <v>32.5</v>
      </c>
      <c r="F20" s="3"/>
      <c r="G20" s="3">
        <v>39.4</v>
      </c>
      <c r="H20" s="3">
        <v>28.1</v>
      </c>
      <c r="I20" s="3"/>
      <c r="J20">
        <v>202112</v>
      </c>
      <c r="K20" s="2">
        <v>821.85357666000004</v>
      </c>
      <c r="L20">
        <v>31</v>
      </c>
      <c r="M20" s="3"/>
      <c r="N20" s="3">
        <v>37.837837837837839</v>
      </c>
      <c r="O20" s="3"/>
      <c r="P20" s="3">
        <v>35.035035035035037</v>
      </c>
      <c r="Q20" s="3">
        <v>27.127127127127125</v>
      </c>
      <c r="AB20">
        <v>202112</v>
      </c>
      <c r="AC20" s="2">
        <v>954.46228027300003</v>
      </c>
      <c r="AD20">
        <v>28</v>
      </c>
      <c r="AE20" s="3"/>
      <c r="AF20" s="3">
        <v>14.299999999999999</v>
      </c>
      <c r="AG20" s="3"/>
      <c r="AH20" s="3">
        <v>65.7</v>
      </c>
      <c r="AI20" s="3">
        <v>20</v>
      </c>
    </row>
    <row r="21" spans="1:35" x14ac:dyDescent="0.2">
      <c r="A21">
        <v>202112</v>
      </c>
      <c r="B21" s="2">
        <v>2122.2141113299999</v>
      </c>
      <c r="C21">
        <v>13</v>
      </c>
      <c r="D21" s="3"/>
      <c r="E21" s="3">
        <v>43.443443443443449</v>
      </c>
      <c r="F21" s="3">
        <v>23.823823823823826</v>
      </c>
      <c r="G21" s="3">
        <v>32.732732732732742</v>
      </c>
      <c r="H21" s="3"/>
      <c r="I21" s="3"/>
      <c r="J21">
        <v>202112</v>
      </c>
      <c r="K21" s="2">
        <v>915.71697998000002</v>
      </c>
      <c r="L21">
        <v>34</v>
      </c>
      <c r="M21" s="3"/>
      <c r="N21" s="3">
        <v>57.557557557557551</v>
      </c>
      <c r="O21" s="3"/>
      <c r="P21" s="3">
        <v>16.216216216216218</v>
      </c>
      <c r="Q21" s="3">
        <v>26.226226226226228</v>
      </c>
      <c r="AB21">
        <v>202112</v>
      </c>
      <c r="AC21" s="2">
        <v>915.71697998000002</v>
      </c>
      <c r="AD21">
        <v>29</v>
      </c>
      <c r="AE21" s="3"/>
      <c r="AF21" s="3">
        <v>22</v>
      </c>
      <c r="AG21" s="3"/>
      <c r="AH21" s="3">
        <v>57.199999999999996</v>
      </c>
      <c r="AI21" s="3">
        <v>20.8</v>
      </c>
    </row>
    <row r="22" spans="1:35" x14ac:dyDescent="0.2">
      <c r="A22">
        <v>202112</v>
      </c>
      <c r="B22" s="2">
        <v>2162.6936035200001</v>
      </c>
      <c r="C22">
        <v>12</v>
      </c>
      <c r="D22" s="3"/>
      <c r="E22" s="3">
        <v>18.3</v>
      </c>
      <c r="F22" s="3">
        <v>37.200000000000003</v>
      </c>
      <c r="G22" s="3">
        <v>44.5</v>
      </c>
      <c r="H22" s="3"/>
      <c r="I22" s="3"/>
      <c r="J22">
        <v>202112</v>
      </c>
      <c r="K22" s="2">
        <v>887.72674560500002</v>
      </c>
      <c r="L22">
        <v>35</v>
      </c>
      <c r="M22" s="3"/>
      <c r="N22" s="3">
        <v>33.900000000000006</v>
      </c>
      <c r="O22" s="3"/>
      <c r="P22" s="3">
        <v>37.4</v>
      </c>
      <c r="Q22" s="3">
        <v>28.7</v>
      </c>
      <c r="AB22">
        <v>202112</v>
      </c>
      <c r="AC22" s="2">
        <v>821.85357666000004</v>
      </c>
      <c r="AD22">
        <v>31</v>
      </c>
      <c r="AE22" s="3"/>
      <c r="AF22" s="3">
        <v>37.837837837837839</v>
      </c>
      <c r="AG22" s="3"/>
      <c r="AH22" s="3">
        <v>35.035035035035037</v>
      </c>
      <c r="AI22" s="3">
        <v>27.127127127127125</v>
      </c>
    </row>
    <row r="23" spans="1:35" x14ac:dyDescent="0.2">
      <c r="A23">
        <v>202112</v>
      </c>
      <c r="B23" s="2">
        <v>2238.2409668</v>
      </c>
      <c r="C23">
        <v>10</v>
      </c>
      <c r="D23" s="3"/>
      <c r="E23" s="3">
        <v>67.600000000000009</v>
      </c>
      <c r="F23" s="3">
        <v>9.3000000000000007</v>
      </c>
      <c r="G23" s="3">
        <v>23.1</v>
      </c>
      <c r="H23" s="3"/>
      <c r="I23" s="3"/>
      <c r="J23">
        <v>202112</v>
      </c>
      <c r="K23" s="2">
        <v>506.78582763700001</v>
      </c>
      <c r="L23">
        <v>37</v>
      </c>
      <c r="M23" s="3"/>
      <c r="N23" s="3">
        <v>41.6</v>
      </c>
      <c r="O23" s="3">
        <v>25.4</v>
      </c>
      <c r="P23" s="3"/>
      <c r="Q23" s="3">
        <v>33</v>
      </c>
      <c r="AB23">
        <v>202103</v>
      </c>
      <c r="AC23" s="2">
        <v>995.80053710899995</v>
      </c>
      <c r="AD23">
        <v>32</v>
      </c>
      <c r="AE23" s="3"/>
      <c r="AF23" s="3">
        <v>46.046046046046044</v>
      </c>
      <c r="AG23" s="3">
        <v>24.324324324324323</v>
      </c>
      <c r="AH23" s="3">
        <v>29.629629629629626</v>
      </c>
      <c r="AI23" s="3"/>
    </row>
    <row r="24" spans="1:35" x14ac:dyDescent="0.2">
      <c r="A24">
        <v>202112</v>
      </c>
      <c r="B24" s="2">
        <v>2429.2712402299999</v>
      </c>
      <c r="C24">
        <v>8</v>
      </c>
      <c r="D24" s="3">
        <v>18.7</v>
      </c>
      <c r="E24" s="3">
        <v>50.4</v>
      </c>
      <c r="F24" s="3"/>
      <c r="G24" s="3">
        <v>30.9</v>
      </c>
      <c r="H24" s="3"/>
      <c r="I24" s="3"/>
      <c r="J24">
        <v>202112</v>
      </c>
      <c r="K24" s="2">
        <v>459.41976928700001</v>
      </c>
      <c r="L24">
        <v>38</v>
      </c>
      <c r="M24" s="3"/>
      <c r="N24" s="3">
        <v>50.350350350350347</v>
      </c>
      <c r="O24" s="3">
        <v>16.716716716716714</v>
      </c>
      <c r="P24" s="3">
        <v>32.932932932932928</v>
      </c>
      <c r="Q24" s="3"/>
      <c r="AB24">
        <v>202112</v>
      </c>
      <c r="AC24" s="2">
        <v>915.71697998000002</v>
      </c>
      <c r="AD24">
        <v>34</v>
      </c>
      <c r="AE24" s="3"/>
      <c r="AF24" s="3">
        <v>57.557557557557551</v>
      </c>
      <c r="AG24" s="3"/>
      <c r="AH24" s="3">
        <v>16.216216216216218</v>
      </c>
      <c r="AI24" s="3">
        <v>26.226226226226228</v>
      </c>
    </row>
    <row r="25" spans="1:35" x14ac:dyDescent="0.2">
      <c r="A25">
        <v>202112</v>
      </c>
      <c r="B25" s="2">
        <v>2585.2856445299999</v>
      </c>
      <c r="C25">
        <v>7</v>
      </c>
      <c r="D25" s="3">
        <v>37</v>
      </c>
      <c r="E25" s="3">
        <v>63</v>
      </c>
      <c r="F25" s="3"/>
      <c r="G25" s="3"/>
      <c r="H25" s="3"/>
      <c r="I25" s="3"/>
      <c r="J25">
        <v>202112</v>
      </c>
      <c r="K25" s="2">
        <v>396.48348999000001</v>
      </c>
      <c r="L25">
        <v>40</v>
      </c>
      <c r="M25" s="3"/>
      <c r="N25" s="3">
        <v>36.9</v>
      </c>
      <c r="O25" s="3">
        <v>28.799999999999997</v>
      </c>
      <c r="P25" s="3"/>
      <c r="Q25" s="3">
        <v>34.300000000000004</v>
      </c>
      <c r="AB25">
        <v>202112</v>
      </c>
      <c r="AC25" s="2">
        <v>887.72674560500002</v>
      </c>
      <c r="AD25">
        <v>35</v>
      </c>
      <c r="AE25" s="3"/>
      <c r="AF25" s="3">
        <v>33.900000000000006</v>
      </c>
      <c r="AG25" s="3"/>
      <c r="AH25" s="3">
        <v>37.4</v>
      </c>
      <c r="AI25" s="3">
        <v>28.7</v>
      </c>
    </row>
    <row r="26" spans="1:35" x14ac:dyDescent="0.2">
      <c r="A26">
        <v>202112</v>
      </c>
      <c r="B26" s="2">
        <v>2818.2167968799999</v>
      </c>
      <c r="C26">
        <v>5</v>
      </c>
      <c r="D26" s="3">
        <v>38.700000000000003</v>
      </c>
      <c r="E26" s="3">
        <v>61.3</v>
      </c>
      <c r="F26" s="3"/>
      <c r="G26" s="3"/>
      <c r="H26" s="3"/>
      <c r="I26" s="3"/>
      <c r="J26">
        <v>202112</v>
      </c>
      <c r="K26" s="2">
        <v>377.78582763700001</v>
      </c>
      <c r="L26">
        <v>41</v>
      </c>
      <c r="M26" s="3"/>
      <c r="N26" s="3">
        <v>43.6</v>
      </c>
      <c r="O26" s="3">
        <v>26.3</v>
      </c>
      <c r="P26" s="3">
        <v>30.099999999999998</v>
      </c>
      <c r="Q26" s="3"/>
      <c r="AB26">
        <v>202112</v>
      </c>
      <c r="AC26" s="2">
        <v>506.78582763700001</v>
      </c>
      <c r="AD26">
        <v>37</v>
      </c>
      <c r="AE26" s="3"/>
      <c r="AF26" s="3">
        <v>41.6</v>
      </c>
      <c r="AG26" s="3">
        <v>25.4</v>
      </c>
      <c r="AH26" s="3"/>
      <c r="AI26" s="3">
        <v>33</v>
      </c>
    </row>
    <row r="27" spans="1:35" x14ac:dyDescent="0.2">
      <c r="A27">
        <v>202112</v>
      </c>
      <c r="B27" s="2">
        <v>2916.2229003900002</v>
      </c>
      <c r="C27">
        <v>4</v>
      </c>
      <c r="D27" s="3">
        <v>41.199999999999996</v>
      </c>
      <c r="E27" s="3">
        <v>58.8</v>
      </c>
      <c r="F27" s="3"/>
      <c r="G27" s="3"/>
      <c r="H27" s="3"/>
      <c r="I27" s="3"/>
      <c r="J27">
        <v>202112</v>
      </c>
      <c r="K27" s="2">
        <v>316</v>
      </c>
      <c r="L27">
        <v>43</v>
      </c>
      <c r="M27" s="3"/>
      <c r="N27" s="3">
        <v>45.9</v>
      </c>
      <c r="O27" s="3"/>
      <c r="P27" s="3">
        <v>29.5</v>
      </c>
      <c r="Q27" s="3">
        <v>24.6</v>
      </c>
      <c r="AB27">
        <v>202112</v>
      </c>
      <c r="AC27" s="2">
        <v>459.41976928700001</v>
      </c>
      <c r="AD27">
        <v>38</v>
      </c>
      <c r="AE27" s="3"/>
      <c r="AF27" s="3">
        <v>50.350350350350347</v>
      </c>
      <c r="AG27" s="3">
        <v>16.716716716716714</v>
      </c>
      <c r="AH27" s="3">
        <v>32.932932932932928</v>
      </c>
      <c r="AI27" s="3"/>
    </row>
    <row r="28" spans="1:35" x14ac:dyDescent="0.2">
      <c r="A28">
        <v>202112</v>
      </c>
      <c r="B28" s="2">
        <v>3237.9897460900002</v>
      </c>
      <c r="C28">
        <v>1</v>
      </c>
      <c r="D28" s="3">
        <v>57.8</v>
      </c>
      <c r="E28" s="3">
        <v>42.199999999999996</v>
      </c>
      <c r="F28" s="3"/>
      <c r="G28" s="3"/>
      <c r="H28" s="3"/>
      <c r="I28" s="3"/>
      <c r="J28">
        <v>202112</v>
      </c>
      <c r="K28" s="2">
        <v>294.68939209000001</v>
      </c>
      <c r="L28">
        <v>46</v>
      </c>
      <c r="M28" s="3"/>
      <c r="N28" s="3">
        <v>26.1</v>
      </c>
      <c r="O28" s="3">
        <v>36.299999999999997</v>
      </c>
      <c r="P28" s="3"/>
      <c r="Q28" s="3">
        <v>37.6</v>
      </c>
      <c r="AB28">
        <v>202112</v>
      </c>
      <c r="AC28" s="2">
        <v>396.48348999000001</v>
      </c>
      <c r="AD28">
        <v>40</v>
      </c>
      <c r="AE28" s="3"/>
      <c r="AF28" s="3">
        <v>36.9</v>
      </c>
      <c r="AG28" s="3">
        <v>28.799999999999997</v>
      </c>
      <c r="AH28" s="3"/>
      <c r="AI28" s="3">
        <v>34.300000000000004</v>
      </c>
    </row>
    <row r="29" spans="1:35" x14ac:dyDescent="0.2">
      <c r="AB29">
        <v>202112</v>
      </c>
      <c r="AC29" s="2">
        <v>377.78582763700001</v>
      </c>
      <c r="AD29">
        <v>41</v>
      </c>
      <c r="AE29" s="3"/>
      <c r="AF29" s="3">
        <v>43.6</v>
      </c>
      <c r="AG29" s="3">
        <v>26.3</v>
      </c>
      <c r="AH29" s="3">
        <v>30.099999999999998</v>
      </c>
      <c r="AI29" s="3"/>
    </row>
    <row r="30" spans="1:35" x14ac:dyDescent="0.2">
      <c r="AB30">
        <v>202112</v>
      </c>
      <c r="AC30" s="2">
        <v>316</v>
      </c>
      <c r="AD30">
        <v>43</v>
      </c>
      <c r="AE30" s="3"/>
      <c r="AF30" s="3">
        <v>45.9</v>
      </c>
      <c r="AG30" s="3"/>
      <c r="AH30" s="3">
        <v>29.5</v>
      </c>
      <c r="AI30" s="3">
        <v>24.6</v>
      </c>
    </row>
    <row r="31" spans="1:35" x14ac:dyDescent="0.2">
      <c r="AB31">
        <v>202103</v>
      </c>
      <c r="AC31" s="2">
        <v>303.63504028300002</v>
      </c>
      <c r="AD31">
        <v>44</v>
      </c>
      <c r="AE31" s="3"/>
      <c r="AF31" s="3">
        <v>37.9</v>
      </c>
      <c r="AG31" s="3">
        <v>23</v>
      </c>
      <c r="AH31" s="3">
        <v>39.1</v>
      </c>
      <c r="AI31" s="3"/>
    </row>
    <row r="32" spans="1:35" x14ac:dyDescent="0.2">
      <c r="AB32">
        <v>202112</v>
      </c>
      <c r="AC32" s="2">
        <v>294.68939209000001</v>
      </c>
      <c r="AD32">
        <v>46</v>
      </c>
      <c r="AE32" s="3"/>
      <c r="AF32" s="3">
        <v>26.1</v>
      </c>
      <c r="AG32" s="3">
        <v>36.299999999999997</v>
      </c>
      <c r="AH32" s="3"/>
      <c r="AI32" s="3">
        <v>37.6</v>
      </c>
    </row>
    <row r="34" spans="28:35" x14ac:dyDescent="0.2">
      <c r="AB34" s="1" t="s">
        <v>7</v>
      </c>
      <c r="AC34" s="1" t="s">
        <v>0</v>
      </c>
      <c r="AD34" s="1" t="s">
        <v>1</v>
      </c>
      <c r="AE34" s="1" t="s">
        <v>46</v>
      </c>
      <c r="AF34" s="1" t="s">
        <v>49</v>
      </c>
      <c r="AG34" s="1" t="s">
        <v>47</v>
      </c>
      <c r="AH34" s="1" t="s">
        <v>50</v>
      </c>
      <c r="AI34" s="1" t="s">
        <v>48</v>
      </c>
    </row>
    <row r="35" spans="28:35" x14ac:dyDescent="0.2">
      <c r="AB35">
        <v>202112</v>
      </c>
      <c r="AC35" s="2">
        <v>294.68939209000001</v>
      </c>
      <c r="AD35">
        <v>46</v>
      </c>
      <c r="AE35" s="3"/>
      <c r="AF35" s="3">
        <v>26.1</v>
      </c>
      <c r="AG35" s="3">
        <v>36.299999999999997</v>
      </c>
      <c r="AH35" s="3"/>
      <c r="AI35" s="3">
        <v>37.6</v>
      </c>
    </row>
    <row r="36" spans="28:35" x14ac:dyDescent="0.2">
      <c r="AB36">
        <v>202103</v>
      </c>
      <c r="AC36" s="2">
        <v>303.63504028300002</v>
      </c>
      <c r="AD36">
        <v>44</v>
      </c>
      <c r="AE36" s="3"/>
      <c r="AF36" s="3">
        <v>37.9</v>
      </c>
      <c r="AG36" s="3">
        <v>23</v>
      </c>
      <c r="AH36" s="3">
        <v>39.1</v>
      </c>
      <c r="AI36" s="3"/>
    </row>
    <row r="37" spans="28:35" x14ac:dyDescent="0.2">
      <c r="AB37">
        <v>202112</v>
      </c>
      <c r="AC37" s="2">
        <v>316</v>
      </c>
      <c r="AD37">
        <v>43</v>
      </c>
      <c r="AE37" s="3"/>
      <c r="AF37" s="3">
        <v>45.9</v>
      </c>
      <c r="AG37" s="3"/>
      <c r="AH37" s="3">
        <v>29.5</v>
      </c>
      <c r="AI37" s="3">
        <v>24.6</v>
      </c>
    </row>
    <row r="38" spans="28:35" x14ac:dyDescent="0.2">
      <c r="AB38">
        <v>202112</v>
      </c>
      <c r="AC38" s="2">
        <v>377.78582763700001</v>
      </c>
      <c r="AD38">
        <v>41</v>
      </c>
      <c r="AE38" s="3"/>
      <c r="AF38" s="3">
        <v>43.6</v>
      </c>
      <c r="AG38" s="3">
        <v>26.3</v>
      </c>
      <c r="AH38" s="3">
        <v>30.099999999999998</v>
      </c>
      <c r="AI38" s="3"/>
    </row>
    <row r="39" spans="28:35" x14ac:dyDescent="0.2">
      <c r="AB39">
        <v>202112</v>
      </c>
      <c r="AC39" s="2">
        <v>396.48348999000001</v>
      </c>
      <c r="AD39">
        <v>40</v>
      </c>
      <c r="AE39" s="3"/>
      <c r="AF39" s="3">
        <v>36.9</v>
      </c>
      <c r="AG39" s="3">
        <v>28.799999999999997</v>
      </c>
      <c r="AH39" s="3"/>
      <c r="AI39" s="3">
        <v>34.300000000000004</v>
      </c>
    </row>
    <row r="40" spans="28:35" x14ac:dyDescent="0.2">
      <c r="AB40">
        <v>202112</v>
      </c>
      <c r="AC40" s="2">
        <v>459.41976928700001</v>
      </c>
      <c r="AD40">
        <v>38</v>
      </c>
      <c r="AE40" s="3"/>
      <c r="AF40" s="3">
        <v>50.350350350350347</v>
      </c>
      <c r="AG40" s="3">
        <v>16.716716716716714</v>
      </c>
      <c r="AH40" s="3">
        <v>32.932932932932928</v>
      </c>
      <c r="AI40" s="3"/>
    </row>
    <row r="41" spans="28:35" x14ac:dyDescent="0.2">
      <c r="AB41">
        <v>202112</v>
      </c>
      <c r="AC41" s="2">
        <v>506.78582763700001</v>
      </c>
      <c r="AD41">
        <v>37</v>
      </c>
      <c r="AE41" s="3"/>
      <c r="AF41" s="3">
        <v>41.6</v>
      </c>
      <c r="AG41" s="3">
        <v>25.4</v>
      </c>
      <c r="AH41" s="3"/>
      <c r="AI41" s="3">
        <v>33</v>
      </c>
    </row>
    <row r="42" spans="28:35" x14ac:dyDescent="0.2">
      <c r="AB42">
        <v>202112</v>
      </c>
      <c r="AC42" s="2">
        <v>887.72674560500002</v>
      </c>
      <c r="AD42">
        <v>35</v>
      </c>
      <c r="AE42" s="3"/>
      <c r="AF42" s="3">
        <v>33.900000000000006</v>
      </c>
      <c r="AG42" s="3"/>
      <c r="AH42" s="3">
        <v>37.4</v>
      </c>
      <c r="AI42" s="3">
        <v>28.7</v>
      </c>
    </row>
    <row r="43" spans="28:35" x14ac:dyDescent="0.2">
      <c r="AB43">
        <v>202112</v>
      </c>
      <c r="AC43" s="2">
        <v>915.71697998000002</v>
      </c>
      <c r="AD43">
        <v>34</v>
      </c>
      <c r="AE43" s="3"/>
      <c r="AF43" s="3">
        <v>57.557557557557551</v>
      </c>
      <c r="AG43" s="3"/>
      <c r="AH43" s="3">
        <v>16.216216216216218</v>
      </c>
      <c r="AI43" s="3">
        <v>26.226226226226228</v>
      </c>
    </row>
    <row r="44" spans="28:35" x14ac:dyDescent="0.2">
      <c r="AB44">
        <v>202103</v>
      </c>
      <c r="AC44" s="2">
        <v>995.80053710899995</v>
      </c>
      <c r="AD44">
        <v>32</v>
      </c>
      <c r="AE44" s="3"/>
      <c r="AF44" s="3">
        <v>46.046046046046044</v>
      </c>
      <c r="AG44" s="3">
        <v>24.324324324324323</v>
      </c>
      <c r="AH44" s="3">
        <v>29.629629629629626</v>
      </c>
      <c r="AI44" s="3"/>
    </row>
    <row r="45" spans="28:35" x14ac:dyDescent="0.2">
      <c r="AB45">
        <v>202112</v>
      </c>
      <c r="AC45" s="2">
        <v>821.85357666000004</v>
      </c>
      <c r="AD45">
        <v>31</v>
      </c>
      <c r="AE45" s="3"/>
      <c r="AF45" s="3">
        <v>37.837837837837839</v>
      </c>
      <c r="AG45" s="3"/>
      <c r="AH45" s="3">
        <v>35.035035035035037</v>
      </c>
      <c r="AI45" s="3">
        <v>27.127127127127125</v>
      </c>
    </row>
    <row r="46" spans="28:35" x14ac:dyDescent="0.2">
      <c r="AB46">
        <v>202112</v>
      </c>
      <c r="AC46" s="2">
        <v>915.71697998000002</v>
      </c>
      <c r="AD46">
        <v>29</v>
      </c>
      <c r="AE46" s="3"/>
      <c r="AF46" s="3">
        <v>22</v>
      </c>
      <c r="AG46" s="3"/>
      <c r="AH46" s="3">
        <v>57.199999999999996</v>
      </c>
      <c r="AI46" s="3">
        <v>20.8</v>
      </c>
    </row>
    <row r="47" spans="28:35" x14ac:dyDescent="0.2">
      <c r="AB47">
        <v>202112</v>
      </c>
      <c r="AC47" s="2">
        <v>954.46228027300003</v>
      </c>
      <c r="AD47">
        <v>28</v>
      </c>
      <c r="AE47" s="3"/>
      <c r="AF47" s="3">
        <v>14.299999999999999</v>
      </c>
      <c r="AG47" s="3"/>
      <c r="AH47" s="3">
        <v>65.7</v>
      </c>
      <c r="AI47" s="3">
        <v>20</v>
      </c>
    </row>
    <row r="48" spans="28:35" x14ac:dyDescent="0.2">
      <c r="AB48">
        <v>202112</v>
      </c>
      <c r="AC48" s="2">
        <v>1113.4626464800001</v>
      </c>
      <c r="AD48">
        <v>26</v>
      </c>
      <c r="AE48" s="3"/>
      <c r="AF48" s="3">
        <v>14.099999999999998</v>
      </c>
      <c r="AG48" s="3"/>
      <c r="AH48" s="3">
        <v>58.5</v>
      </c>
      <c r="AI48" s="3">
        <v>27.400000000000002</v>
      </c>
    </row>
    <row r="49" spans="28:35" x14ac:dyDescent="0.2">
      <c r="AB49">
        <v>202112</v>
      </c>
      <c r="AC49" s="2">
        <v>1159.1307373</v>
      </c>
      <c r="AD49">
        <v>25</v>
      </c>
      <c r="AE49" s="3"/>
      <c r="AF49" s="3">
        <v>56.7</v>
      </c>
      <c r="AG49" s="3">
        <v>22.300000000000004</v>
      </c>
      <c r="AH49" s="3">
        <v>21.000000000000004</v>
      </c>
      <c r="AI49" s="3"/>
    </row>
    <row r="50" spans="28:35" x14ac:dyDescent="0.2">
      <c r="AB50">
        <v>202103</v>
      </c>
      <c r="AC50" s="2">
        <v>1289.3337402300001</v>
      </c>
      <c r="AD50">
        <v>23</v>
      </c>
      <c r="AE50" s="3"/>
      <c r="AF50" s="3">
        <v>35.299999999999997</v>
      </c>
      <c r="AG50" s="3"/>
      <c r="AH50" s="3">
        <v>64.7</v>
      </c>
      <c r="AI50" s="3"/>
    </row>
    <row r="51" spans="28:35" x14ac:dyDescent="0.2">
      <c r="AB51">
        <v>202112</v>
      </c>
      <c r="AC51" s="2">
        <v>1340.0395507799999</v>
      </c>
      <c r="AD51">
        <v>22</v>
      </c>
      <c r="AE51" s="3">
        <v>32.200000000000003</v>
      </c>
      <c r="AF51" s="3">
        <v>19.600000000000001</v>
      </c>
      <c r="AG51" s="3"/>
      <c r="AH51" s="3">
        <v>48.199999999999996</v>
      </c>
      <c r="AI51" s="3"/>
    </row>
    <row r="52" spans="28:35" x14ac:dyDescent="0.2">
      <c r="AB52">
        <v>202112</v>
      </c>
      <c r="AC52" s="2">
        <v>1526.9757080100001</v>
      </c>
      <c r="AD52">
        <v>20</v>
      </c>
      <c r="AE52" s="3"/>
      <c r="AF52" s="3">
        <v>21.8</v>
      </c>
      <c r="AG52" s="3"/>
      <c r="AH52" s="3">
        <v>51.800000000000004</v>
      </c>
      <c r="AI52" s="3">
        <v>26.400000000000002</v>
      </c>
    </row>
    <row r="53" spans="28:35" x14ac:dyDescent="0.2">
      <c r="AB53">
        <v>202112</v>
      </c>
      <c r="AC53" s="2">
        <v>1577.5518798799999</v>
      </c>
      <c r="AD53">
        <v>19</v>
      </c>
      <c r="AE53" s="3">
        <v>54.1</v>
      </c>
      <c r="AF53" s="3">
        <v>22.8</v>
      </c>
      <c r="AG53" s="3"/>
      <c r="AH53" s="3"/>
      <c r="AI53" s="3">
        <v>23.1</v>
      </c>
    </row>
    <row r="54" spans="28:35" x14ac:dyDescent="0.2">
      <c r="AB54">
        <v>202112</v>
      </c>
      <c r="AC54" s="2">
        <v>1759.0534668</v>
      </c>
      <c r="AD54">
        <v>17</v>
      </c>
      <c r="AE54" s="3">
        <v>22.8</v>
      </c>
      <c r="AF54" s="3"/>
      <c r="AG54" s="3"/>
      <c r="AH54" s="3">
        <v>51.5</v>
      </c>
      <c r="AI54" s="3">
        <v>25.7</v>
      </c>
    </row>
    <row r="55" spans="28:35" x14ac:dyDescent="0.2">
      <c r="AB55">
        <v>202112</v>
      </c>
      <c r="AC55" s="2">
        <v>1807.7528076200001</v>
      </c>
      <c r="AD55">
        <v>16</v>
      </c>
      <c r="AE55" s="3">
        <v>26.8</v>
      </c>
      <c r="AF55" s="3">
        <v>1.7000000000000002</v>
      </c>
      <c r="AG55" s="3"/>
      <c r="AH55" s="3">
        <v>71.5</v>
      </c>
      <c r="AI55" s="3"/>
    </row>
    <row r="56" spans="28:35" x14ac:dyDescent="0.2">
      <c r="AB56">
        <v>202112</v>
      </c>
      <c r="AC56" s="2">
        <v>2035.1241455100001</v>
      </c>
      <c r="AD56">
        <v>14</v>
      </c>
      <c r="AE56" s="3"/>
      <c r="AF56" s="3">
        <v>32.5</v>
      </c>
      <c r="AG56" s="3"/>
      <c r="AH56" s="3">
        <v>39.4</v>
      </c>
      <c r="AI56" s="3">
        <v>28.1</v>
      </c>
    </row>
    <row r="57" spans="28:35" x14ac:dyDescent="0.2">
      <c r="AB57">
        <v>202112</v>
      </c>
      <c r="AC57" s="2">
        <v>2122.2141113299999</v>
      </c>
      <c r="AD57">
        <v>13</v>
      </c>
      <c r="AE57" s="3"/>
      <c r="AF57" s="3">
        <v>43.443443443443449</v>
      </c>
      <c r="AG57" s="3">
        <v>23.823823823823826</v>
      </c>
      <c r="AH57" s="3">
        <v>32.732732732732742</v>
      </c>
      <c r="AI57" s="3"/>
    </row>
    <row r="58" spans="28:35" x14ac:dyDescent="0.2">
      <c r="AB58">
        <v>202112</v>
      </c>
      <c r="AC58" s="2">
        <v>2162.6936035200001</v>
      </c>
      <c r="AD58">
        <v>12</v>
      </c>
      <c r="AE58" s="3"/>
      <c r="AF58" s="3">
        <v>18.3</v>
      </c>
      <c r="AG58" s="3">
        <v>37.200000000000003</v>
      </c>
      <c r="AH58" s="3">
        <v>44.5</v>
      </c>
      <c r="AI58" s="3"/>
    </row>
    <row r="59" spans="28:35" x14ac:dyDescent="0.2">
      <c r="AB59">
        <v>202112</v>
      </c>
      <c r="AC59" s="2">
        <v>2238.2409668</v>
      </c>
      <c r="AD59">
        <v>10</v>
      </c>
      <c r="AE59" s="3"/>
      <c r="AF59" s="3">
        <v>67.600000000000009</v>
      </c>
      <c r="AG59" s="3">
        <v>9.3000000000000007</v>
      </c>
      <c r="AH59" s="3">
        <v>23.1</v>
      </c>
      <c r="AI59" s="3"/>
    </row>
    <row r="60" spans="28:35" x14ac:dyDescent="0.2">
      <c r="AB60">
        <v>202112</v>
      </c>
      <c r="AC60" s="2">
        <v>2429.2712402299999</v>
      </c>
      <c r="AD60">
        <v>8</v>
      </c>
      <c r="AE60" s="3">
        <v>18.7</v>
      </c>
      <c r="AF60" s="3">
        <v>50.4</v>
      </c>
      <c r="AG60" s="3"/>
      <c r="AH60" s="3">
        <v>30.9</v>
      </c>
      <c r="AI60" s="3"/>
    </row>
    <row r="61" spans="28:35" x14ac:dyDescent="0.2">
      <c r="AB61">
        <v>202112</v>
      </c>
      <c r="AC61" s="2">
        <v>2585.2856445299999</v>
      </c>
      <c r="AD61">
        <v>7</v>
      </c>
      <c r="AE61" s="3">
        <v>37</v>
      </c>
      <c r="AF61" s="3">
        <v>63</v>
      </c>
      <c r="AG61" s="3"/>
      <c r="AH61" s="3"/>
      <c r="AI61" s="3"/>
    </row>
    <row r="62" spans="28:35" x14ac:dyDescent="0.2">
      <c r="AB62">
        <v>202112</v>
      </c>
      <c r="AC62" s="2">
        <v>2818.2167968799999</v>
      </c>
      <c r="AD62">
        <v>5</v>
      </c>
      <c r="AE62" s="3">
        <v>38.700000000000003</v>
      </c>
      <c r="AF62" s="3">
        <v>61.3</v>
      </c>
      <c r="AG62" s="3"/>
      <c r="AH62" s="3"/>
      <c r="AI62" s="3"/>
    </row>
    <row r="63" spans="28:35" x14ac:dyDescent="0.2">
      <c r="AB63">
        <v>202112</v>
      </c>
      <c r="AC63" s="2">
        <v>2916.2229003900002</v>
      </c>
      <c r="AD63">
        <v>4</v>
      </c>
      <c r="AE63" s="3">
        <v>41.199999999999996</v>
      </c>
      <c r="AF63" s="3">
        <v>58.8</v>
      </c>
      <c r="AG63" s="3"/>
      <c r="AH63" s="3"/>
      <c r="AI63" s="3"/>
    </row>
    <row r="64" spans="28:35" x14ac:dyDescent="0.2">
      <c r="AB64">
        <v>202103</v>
      </c>
      <c r="AC64" s="2">
        <v>3123.3532714799999</v>
      </c>
      <c r="AD64">
        <v>2</v>
      </c>
      <c r="AE64" s="3">
        <v>9</v>
      </c>
      <c r="AF64" s="3">
        <v>23.5</v>
      </c>
      <c r="AG64" s="3"/>
      <c r="AH64" s="3">
        <v>67.5</v>
      </c>
      <c r="AI64" s="3"/>
    </row>
    <row r="65" spans="28:35" x14ac:dyDescent="0.2">
      <c r="AB65">
        <v>202112</v>
      </c>
      <c r="AC65" s="2">
        <v>3237.9897460900002</v>
      </c>
      <c r="AD65">
        <v>1</v>
      </c>
      <c r="AE65" s="3">
        <v>57.8</v>
      </c>
      <c r="AF65" s="3">
        <v>42.199999999999996</v>
      </c>
      <c r="AG65" s="3"/>
      <c r="AH65" s="3"/>
      <c r="AI65" s="3"/>
    </row>
    <row r="66" spans="28:35" x14ac:dyDescent="0.2">
      <c r="AC66" s="2"/>
      <c r="AE66" s="3">
        <f>SUM(Table2[[Mn(II)]:[Mn(II/III)]])</f>
        <v>1465.3352352352354</v>
      </c>
      <c r="AF66" s="3"/>
      <c r="AG66" s="3">
        <f>SUM(Table2[[Mn(II/III)]:[Mn(III/IV)]])</f>
        <v>2378.6466466466463</v>
      </c>
      <c r="AH66" s="3"/>
      <c r="AI66" s="3">
        <f>SUM(Table2[[Mn(III/IV)]:[Mn(IV)]])</f>
        <v>1361.1998998998999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1399-C091-43BB-8C46-2BC46776688D}">
  <sheetPr codeName="Sheet2"/>
  <dimension ref="A1:AO43"/>
  <sheetViews>
    <sheetView tabSelected="1" zoomScaleNormal="100" workbookViewId="0">
      <selection activeCell="B8" sqref="B8"/>
    </sheetView>
  </sheetViews>
  <sheetFormatPr baseColWidth="10" defaultColWidth="8.83203125" defaultRowHeight="15" x14ac:dyDescent="0.2"/>
  <cols>
    <col min="1" max="1" width="16.5" customWidth="1"/>
    <col min="37" max="37" width="11.5" customWidth="1"/>
  </cols>
  <sheetData>
    <row r="1" spans="1:41" ht="16" x14ac:dyDescent="0.2">
      <c r="A1" s="5" t="s">
        <v>51</v>
      </c>
      <c r="B1" s="1" t="s">
        <v>18</v>
      </c>
      <c r="C1" s="1" t="s">
        <v>0</v>
      </c>
      <c r="D1" s="1" t="s">
        <v>2</v>
      </c>
      <c r="E1" s="1" t="s">
        <v>4</v>
      </c>
      <c r="F1" s="1" t="s">
        <v>6</v>
      </c>
      <c r="G1" s="1" t="s">
        <v>6</v>
      </c>
      <c r="S1" s="1" t="s">
        <v>18</v>
      </c>
      <c r="T1" s="1" t="s">
        <v>0</v>
      </c>
      <c r="U1" s="1" t="s">
        <v>2</v>
      </c>
      <c r="V1" s="1" t="s">
        <v>4</v>
      </c>
      <c r="W1" s="1" t="s">
        <v>6</v>
      </c>
      <c r="AK1" s="1" t="s">
        <v>1</v>
      </c>
      <c r="AL1" s="1" t="s">
        <v>0</v>
      </c>
      <c r="AM1" s="1" t="s">
        <v>46</v>
      </c>
      <c r="AN1" s="1" t="s">
        <v>47</v>
      </c>
      <c r="AO1" s="1" t="s">
        <v>48</v>
      </c>
    </row>
    <row r="2" spans="1:41" x14ac:dyDescent="0.2">
      <c r="B2" t="s">
        <v>19</v>
      </c>
      <c r="C2" s="2">
        <v>3237.9897460900002</v>
      </c>
      <c r="D2" s="3">
        <v>58.9</v>
      </c>
      <c r="E2" s="3">
        <v>41.099999999999994</v>
      </c>
      <c r="F2" s="3"/>
      <c r="G2" s="3"/>
      <c r="S2" t="s">
        <v>19</v>
      </c>
      <c r="T2" s="2">
        <v>3237.9897460900002</v>
      </c>
      <c r="U2" s="3">
        <v>58.9</v>
      </c>
      <c r="V2" s="3">
        <v>41.099999999999994</v>
      </c>
      <c r="W2" s="3"/>
      <c r="AK2">
        <v>1</v>
      </c>
      <c r="AL2" s="2">
        <v>3237.9897460900002</v>
      </c>
      <c r="AM2" s="3">
        <v>58.9</v>
      </c>
      <c r="AN2" s="3">
        <v>41.099999999999994</v>
      </c>
      <c r="AO2" s="3"/>
    </row>
    <row r="3" spans="1:41" x14ac:dyDescent="0.2">
      <c r="B3">
        <v>2</v>
      </c>
      <c r="C3" s="2">
        <v>3123.3532714799999</v>
      </c>
      <c r="D3" s="4">
        <v>17.7</v>
      </c>
      <c r="E3" s="4"/>
      <c r="F3" s="4"/>
      <c r="G3" s="4">
        <v>82.300000000000011</v>
      </c>
      <c r="S3">
        <v>2</v>
      </c>
      <c r="T3" s="2">
        <v>3123.3532714799999</v>
      </c>
      <c r="U3" s="4">
        <v>17.7</v>
      </c>
      <c r="V3" s="4"/>
      <c r="W3" s="4">
        <v>82.300000000000011</v>
      </c>
      <c r="AK3">
        <v>2</v>
      </c>
      <c r="AL3" s="2">
        <v>3123.3532714799999</v>
      </c>
      <c r="AM3" s="3">
        <v>17.7</v>
      </c>
      <c r="AN3" s="3"/>
      <c r="AO3" s="3">
        <v>82.300000000000011</v>
      </c>
    </row>
    <row r="4" spans="1:41" x14ac:dyDescent="0.2">
      <c r="B4">
        <v>3</v>
      </c>
      <c r="C4" s="2">
        <v>3018.20703125</v>
      </c>
      <c r="D4" s="4">
        <v>27.800000000000004</v>
      </c>
      <c r="E4" s="4">
        <v>72.2</v>
      </c>
      <c r="F4" s="4"/>
      <c r="G4" s="4"/>
      <c r="S4">
        <v>3</v>
      </c>
      <c r="T4" s="2">
        <v>3018.20703125</v>
      </c>
      <c r="U4" s="4">
        <v>27.800000000000004</v>
      </c>
      <c r="V4" s="4">
        <v>72.2</v>
      </c>
      <c r="W4" s="4"/>
      <c r="AK4">
        <v>3</v>
      </c>
      <c r="AL4" s="2">
        <v>3018.20703125</v>
      </c>
      <c r="AM4" s="3">
        <v>27.800000000000004</v>
      </c>
      <c r="AN4" s="3">
        <v>72.2</v>
      </c>
      <c r="AO4" s="3"/>
    </row>
    <row r="5" spans="1:41" x14ac:dyDescent="0.2">
      <c r="B5" t="s">
        <v>20</v>
      </c>
      <c r="C5" s="2">
        <v>2916.2229003900002</v>
      </c>
      <c r="D5" s="3">
        <v>45.300000000000004</v>
      </c>
      <c r="E5" s="3">
        <v>54.7</v>
      </c>
      <c r="F5" s="3"/>
      <c r="G5" s="3"/>
      <c r="S5" t="s">
        <v>20</v>
      </c>
      <c r="T5" s="2">
        <v>2916.2229003900002</v>
      </c>
      <c r="U5" s="3">
        <v>45.300000000000004</v>
      </c>
      <c r="V5" s="3">
        <v>54.7</v>
      </c>
      <c r="W5" s="3"/>
      <c r="AK5">
        <v>4</v>
      </c>
      <c r="AL5" s="2">
        <v>2916.2229003900002</v>
      </c>
      <c r="AM5" s="3">
        <v>45.300000000000004</v>
      </c>
      <c r="AN5" s="3">
        <v>54.7</v>
      </c>
      <c r="AO5" s="3"/>
    </row>
    <row r="6" spans="1:41" x14ac:dyDescent="0.2">
      <c r="B6" t="s">
        <v>21</v>
      </c>
      <c r="C6" s="2">
        <v>2818.2167968799999</v>
      </c>
      <c r="D6" s="3">
        <v>47</v>
      </c>
      <c r="E6" s="3">
        <v>53</v>
      </c>
      <c r="F6" s="3"/>
      <c r="G6" s="3"/>
      <c r="S6" t="s">
        <v>21</v>
      </c>
      <c r="T6" s="2">
        <v>2818.2167968799999</v>
      </c>
      <c r="U6" s="3">
        <v>47</v>
      </c>
      <c r="V6" s="3">
        <v>53</v>
      </c>
      <c r="W6" s="3"/>
      <c r="AK6">
        <v>5</v>
      </c>
      <c r="AL6" s="2">
        <v>2818.2167968799999</v>
      </c>
      <c r="AM6" s="3">
        <v>47</v>
      </c>
      <c r="AN6" s="3">
        <v>53</v>
      </c>
      <c r="AO6" s="3"/>
    </row>
    <row r="7" spans="1:41" x14ac:dyDescent="0.2">
      <c r="B7">
        <v>6</v>
      </c>
      <c r="C7" s="2">
        <v>2686.2336425799999</v>
      </c>
      <c r="D7" s="4">
        <v>31.2</v>
      </c>
      <c r="E7" s="4">
        <v>68.8</v>
      </c>
      <c r="F7" s="4"/>
      <c r="G7" s="4"/>
      <c r="S7">
        <v>6</v>
      </c>
      <c r="T7" s="2">
        <v>2686.2336425799999</v>
      </c>
      <c r="U7" s="4">
        <v>31.2</v>
      </c>
      <c r="V7" s="4">
        <v>68.8</v>
      </c>
      <c r="W7" s="4"/>
      <c r="AK7">
        <v>6</v>
      </c>
      <c r="AL7" s="2">
        <v>2686.2336425799999</v>
      </c>
      <c r="AM7" s="3">
        <v>31.2</v>
      </c>
      <c r="AN7" s="3">
        <v>68.8</v>
      </c>
      <c r="AO7" s="3"/>
    </row>
    <row r="8" spans="1:41" x14ac:dyDescent="0.2">
      <c r="B8" t="s">
        <v>22</v>
      </c>
      <c r="C8" s="2">
        <v>2585.2856445299999</v>
      </c>
      <c r="D8" s="3">
        <v>44.9</v>
      </c>
      <c r="E8" s="3">
        <v>55.1</v>
      </c>
      <c r="F8" s="3"/>
      <c r="G8" s="3"/>
      <c r="S8" t="s">
        <v>22</v>
      </c>
      <c r="T8" s="2">
        <v>2585.2856445299999</v>
      </c>
      <c r="U8" s="3">
        <v>44.9</v>
      </c>
      <c r="V8" s="3">
        <v>55.1</v>
      </c>
      <c r="W8" s="3"/>
      <c r="AK8">
        <v>7</v>
      </c>
      <c r="AL8" s="2">
        <v>2585.2856445299999</v>
      </c>
      <c r="AM8" s="3">
        <v>44.9</v>
      </c>
      <c r="AN8" s="3">
        <v>55.1</v>
      </c>
      <c r="AO8" s="3"/>
    </row>
    <row r="9" spans="1:41" x14ac:dyDescent="0.2">
      <c r="B9" t="s">
        <v>23</v>
      </c>
      <c r="C9" s="2">
        <v>2429.2712402299999</v>
      </c>
      <c r="D9">
        <v>25</v>
      </c>
      <c r="E9">
        <v>56.399999999999991</v>
      </c>
      <c r="F9">
        <v>18.600000000000001</v>
      </c>
      <c r="G9">
        <v>18.600000000000001</v>
      </c>
      <c r="S9" t="s">
        <v>23</v>
      </c>
      <c r="T9" s="2">
        <v>2429.2712402299999</v>
      </c>
      <c r="U9">
        <v>25</v>
      </c>
      <c r="V9">
        <v>56.399999999999991</v>
      </c>
      <c r="W9">
        <v>18.600000000000001</v>
      </c>
      <c r="AK9">
        <v>8</v>
      </c>
      <c r="AL9" s="2">
        <v>2429.2712402299999</v>
      </c>
      <c r="AM9" s="3">
        <v>25</v>
      </c>
      <c r="AN9" s="3">
        <v>56.399999999999991</v>
      </c>
      <c r="AO9" s="3">
        <v>18.600000000000001</v>
      </c>
    </row>
    <row r="10" spans="1:41" x14ac:dyDescent="0.2">
      <c r="B10" t="s">
        <v>24</v>
      </c>
      <c r="C10" s="2">
        <v>2238.2409668</v>
      </c>
      <c r="D10">
        <v>20.299999999999997</v>
      </c>
      <c r="E10">
        <v>42.6</v>
      </c>
      <c r="F10">
        <v>37.1</v>
      </c>
      <c r="G10">
        <v>37.1</v>
      </c>
      <c r="S10" t="s">
        <v>24</v>
      </c>
      <c r="T10" s="2">
        <v>2238.2409668</v>
      </c>
      <c r="U10">
        <v>20.299999999999997</v>
      </c>
      <c r="V10">
        <v>42.6</v>
      </c>
      <c r="W10">
        <v>37.1</v>
      </c>
      <c r="AK10">
        <v>10</v>
      </c>
      <c r="AL10" s="2">
        <v>2238.2409668</v>
      </c>
      <c r="AM10" s="3">
        <v>20.299999999999997</v>
      </c>
      <c r="AN10" s="3">
        <v>42.6</v>
      </c>
      <c r="AO10" s="3">
        <v>37.1</v>
      </c>
    </row>
    <row r="11" spans="1:41" x14ac:dyDescent="0.2">
      <c r="B11">
        <v>11</v>
      </c>
      <c r="C11" s="2">
        <v>2176.1313476599998</v>
      </c>
      <c r="D11" s="4">
        <v>7.7</v>
      </c>
      <c r="E11" s="4">
        <v>19.2</v>
      </c>
      <c r="F11" s="4">
        <v>73.099999999999994</v>
      </c>
      <c r="G11" s="4">
        <v>73.099999999999994</v>
      </c>
      <c r="S11">
        <v>11</v>
      </c>
      <c r="T11" s="2">
        <v>2176.1313476599998</v>
      </c>
      <c r="U11" s="4">
        <v>7.7</v>
      </c>
      <c r="V11" s="4">
        <v>19.2</v>
      </c>
      <c r="W11" s="4">
        <v>73.099999999999994</v>
      </c>
      <c r="AK11">
        <v>11</v>
      </c>
      <c r="AL11" s="2">
        <v>2176.1313476599998</v>
      </c>
      <c r="AM11" s="3">
        <v>7.7</v>
      </c>
      <c r="AN11" s="3">
        <v>19.2</v>
      </c>
      <c r="AO11" s="3">
        <v>73.099999999999994</v>
      </c>
    </row>
    <row r="12" spans="1:41" x14ac:dyDescent="0.2">
      <c r="B12" t="s">
        <v>25</v>
      </c>
      <c r="C12" s="2">
        <v>2162.6936035200001</v>
      </c>
      <c r="D12">
        <v>5.3</v>
      </c>
      <c r="E12">
        <v>42.6</v>
      </c>
      <c r="F12">
        <v>52.1</v>
      </c>
      <c r="G12">
        <v>52.1</v>
      </c>
      <c r="S12" t="s">
        <v>25</v>
      </c>
      <c r="T12" s="2">
        <v>2162.6936035200001</v>
      </c>
      <c r="U12">
        <v>5.3</v>
      </c>
      <c r="V12">
        <v>42.6</v>
      </c>
      <c r="W12">
        <v>52.1</v>
      </c>
      <c r="AK12">
        <v>12</v>
      </c>
      <c r="AL12" s="2">
        <v>2162.6936035200001</v>
      </c>
      <c r="AM12" s="3">
        <v>5.3</v>
      </c>
      <c r="AN12" s="3">
        <v>42.6</v>
      </c>
      <c r="AO12" s="3">
        <v>52.1</v>
      </c>
    </row>
    <row r="13" spans="1:41" x14ac:dyDescent="0.2">
      <c r="B13" t="s">
        <v>26</v>
      </c>
      <c r="C13" s="2">
        <v>2122.2141113299999</v>
      </c>
      <c r="D13">
        <v>12.2</v>
      </c>
      <c r="E13">
        <v>53.800000000000004</v>
      </c>
      <c r="F13">
        <v>34</v>
      </c>
      <c r="G13">
        <v>34</v>
      </c>
      <c r="S13" t="s">
        <v>26</v>
      </c>
      <c r="T13" s="2">
        <v>2122.2141113299999</v>
      </c>
      <c r="U13">
        <v>12.2</v>
      </c>
      <c r="V13">
        <v>53.800000000000004</v>
      </c>
      <c r="W13">
        <v>34</v>
      </c>
      <c r="AK13">
        <v>13</v>
      </c>
      <c r="AL13" s="2">
        <v>2122.2141113299999</v>
      </c>
      <c r="AM13" s="3">
        <v>12.2</v>
      </c>
      <c r="AN13" s="3">
        <v>53.800000000000004</v>
      </c>
      <c r="AO13" s="3">
        <v>34</v>
      </c>
    </row>
    <row r="14" spans="1:41" x14ac:dyDescent="0.2">
      <c r="B14" t="s">
        <v>27</v>
      </c>
      <c r="C14" s="2">
        <v>2035.1241455100001</v>
      </c>
      <c r="D14">
        <v>10</v>
      </c>
      <c r="E14">
        <v>19.2</v>
      </c>
      <c r="F14">
        <v>70.8</v>
      </c>
      <c r="G14">
        <v>70.8</v>
      </c>
      <c r="S14" t="s">
        <v>27</v>
      </c>
      <c r="T14" s="2">
        <v>2035.1241455100001</v>
      </c>
      <c r="U14">
        <v>10</v>
      </c>
      <c r="V14">
        <v>19.2</v>
      </c>
      <c r="W14">
        <v>70.8</v>
      </c>
      <c r="AK14">
        <v>14</v>
      </c>
      <c r="AL14" s="2">
        <v>2035.1241455100001</v>
      </c>
      <c r="AM14" s="3">
        <v>10</v>
      </c>
      <c r="AN14" s="3">
        <v>19.2</v>
      </c>
      <c r="AO14" s="3">
        <v>70.8</v>
      </c>
    </row>
    <row r="15" spans="1:41" x14ac:dyDescent="0.2">
      <c r="B15">
        <v>15</v>
      </c>
      <c r="C15" s="2">
        <v>1902.74255371</v>
      </c>
      <c r="D15" s="4">
        <v>8</v>
      </c>
      <c r="E15" s="4">
        <v>24.6</v>
      </c>
      <c r="F15" s="4">
        <v>67.400000000000006</v>
      </c>
      <c r="G15" s="4">
        <v>67.400000000000006</v>
      </c>
      <c r="S15">
        <v>15</v>
      </c>
      <c r="T15" s="2">
        <v>1902.74255371</v>
      </c>
      <c r="U15" s="4">
        <v>8</v>
      </c>
      <c r="V15" s="4">
        <v>24.6</v>
      </c>
      <c r="W15" s="4">
        <v>67.400000000000006</v>
      </c>
      <c r="AK15">
        <v>15</v>
      </c>
      <c r="AL15" s="2">
        <v>1902.74255371</v>
      </c>
      <c r="AM15" s="3">
        <v>8</v>
      </c>
      <c r="AN15" s="3">
        <v>24.6</v>
      </c>
      <c r="AO15" s="3">
        <v>67.400000000000006</v>
      </c>
    </row>
    <row r="16" spans="1:41" x14ac:dyDescent="0.2">
      <c r="B16" t="s">
        <v>28</v>
      </c>
      <c r="C16" s="2">
        <v>1807.7528076200001</v>
      </c>
      <c r="D16">
        <v>2.2977022977022981</v>
      </c>
      <c r="F16">
        <v>97.702297702297713</v>
      </c>
      <c r="G16">
        <v>97.702297702297713</v>
      </c>
      <c r="S16" t="s">
        <v>28</v>
      </c>
      <c r="T16" s="2">
        <v>1807.7528076200001</v>
      </c>
      <c r="U16">
        <v>2.2977022977022981</v>
      </c>
      <c r="W16">
        <v>97.702297702297713</v>
      </c>
      <c r="AK16">
        <v>16</v>
      </c>
      <c r="AL16" s="2">
        <v>1807.7528076200001</v>
      </c>
      <c r="AM16" s="3">
        <v>2.2977022977022981</v>
      </c>
      <c r="AN16" s="3"/>
      <c r="AO16" s="3">
        <v>97.702297702297713</v>
      </c>
    </row>
    <row r="17" spans="2:41" x14ac:dyDescent="0.2">
      <c r="B17" t="s">
        <v>29</v>
      </c>
      <c r="C17" s="2">
        <v>1759.0534668</v>
      </c>
      <c r="D17">
        <v>2.2999999999999998</v>
      </c>
      <c r="F17">
        <v>97.7</v>
      </c>
      <c r="G17">
        <v>97.7</v>
      </c>
      <c r="S17" t="s">
        <v>29</v>
      </c>
      <c r="T17" s="2">
        <v>1759.0534668</v>
      </c>
      <c r="U17">
        <v>2.2999999999999998</v>
      </c>
      <c r="W17">
        <v>97.7</v>
      </c>
      <c r="AK17">
        <v>17</v>
      </c>
      <c r="AL17" s="2">
        <v>1759.0534668</v>
      </c>
      <c r="AM17" s="3">
        <v>2.2999999999999998</v>
      </c>
      <c r="AN17" s="3"/>
      <c r="AO17" s="3">
        <v>97.7</v>
      </c>
    </row>
    <row r="18" spans="2:41" x14ac:dyDescent="0.2">
      <c r="B18">
        <v>18</v>
      </c>
      <c r="C18" s="2">
        <v>1710.6140136700001</v>
      </c>
      <c r="D18" s="4">
        <v>3.1</v>
      </c>
      <c r="E18" s="4">
        <v>11.899999999999999</v>
      </c>
      <c r="F18" s="4">
        <v>85</v>
      </c>
      <c r="G18" s="4">
        <v>85</v>
      </c>
      <c r="S18">
        <v>18</v>
      </c>
      <c r="T18" s="2">
        <v>1710.6140136700001</v>
      </c>
      <c r="U18" s="4">
        <v>3.1</v>
      </c>
      <c r="V18" s="4">
        <v>11.899999999999999</v>
      </c>
      <c r="W18" s="4">
        <v>85</v>
      </c>
      <c r="AK18">
        <v>18</v>
      </c>
      <c r="AL18" s="2">
        <v>1710.6140136700001</v>
      </c>
      <c r="AM18" s="3">
        <v>3.1</v>
      </c>
      <c r="AN18" s="3">
        <v>11.899999999999999</v>
      </c>
      <c r="AO18" s="3">
        <v>85</v>
      </c>
    </row>
    <row r="19" spans="2:41" x14ac:dyDescent="0.2">
      <c r="B19" t="s">
        <v>30</v>
      </c>
      <c r="C19" s="2">
        <v>1577.5518798799999</v>
      </c>
      <c r="D19">
        <v>7.4074074074074066</v>
      </c>
      <c r="E19">
        <v>10.01001001001001</v>
      </c>
      <c r="F19">
        <v>82.582582582582575</v>
      </c>
      <c r="G19">
        <v>82.582582582582575</v>
      </c>
      <c r="S19" t="s">
        <v>30</v>
      </c>
      <c r="T19" s="2">
        <v>1577.5518798799999</v>
      </c>
      <c r="U19">
        <v>7.4074074074074066</v>
      </c>
      <c r="V19">
        <v>10.01001001001001</v>
      </c>
      <c r="W19">
        <v>82.582582582582575</v>
      </c>
      <c r="AK19">
        <v>19</v>
      </c>
      <c r="AL19" s="2">
        <v>1577.5518798799999</v>
      </c>
      <c r="AM19" s="3">
        <v>7.4074074074074066</v>
      </c>
      <c r="AN19" s="3">
        <v>10.01001001001001</v>
      </c>
      <c r="AO19" s="3">
        <v>82.582582582582575</v>
      </c>
    </row>
    <row r="20" spans="2:41" x14ac:dyDescent="0.2">
      <c r="B20" t="s">
        <v>31</v>
      </c>
      <c r="C20" s="2">
        <v>1526.9757080100001</v>
      </c>
      <c r="D20">
        <v>10.199999999999999</v>
      </c>
      <c r="F20">
        <v>89.8</v>
      </c>
      <c r="G20">
        <v>89.8</v>
      </c>
      <c r="S20" t="s">
        <v>31</v>
      </c>
      <c r="T20" s="2">
        <v>1526.9757080100001</v>
      </c>
      <c r="U20">
        <v>10.199999999999999</v>
      </c>
      <c r="W20">
        <v>89.8</v>
      </c>
      <c r="AK20">
        <v>20</v>
      </c>
      <c r="AL20" s="2">
        <v>1526.9757080100001</v>
      </c>
      <c r="AM20" s="3">
        <v>10.199999999999999</v>
      </c>
      <c r="AN20" s="3"/>
      <c r="AO20" s="3">
        <v>89.8</v>
      </c>
    </row>
    <row r="21" spans="2:41" x14ac:dyDescent="0.2">
      <c r="B21" t="s">
        <v>32</v>
      </c>
      <c r="C21" s="2">
        <v>1340.0395507799999</v>
      </c>
      <c r="D21">
        <v>4.5</v>
      </c>
      <c r="E21">
        <v>16.600000000000001</v>
      </c>
      <c r="F21">
        <v>78.900000000000006</v>
      </c>
      <c r="G21">
        <v>78.900000000000006</v>
      </c>
      <c r="S21" t="s">
        <v>32</v>
      </c>
      <c r="T21" s="2">
        <v>1340.0395507799999</v>
      </c>
      <c r="U21">
        <v>4.5</v>
      </c>
      <c r="V21">
        <v>16.600000000000001</v>
      </c>
      <c r="W21">
        <v>78.900000000000006</v>
      </c>
      <c r="AK21">
        <v>22</v>
      </c>
      <c r="AL21" s="2">
        <v>1340.0395507799999</v>
      </c>
      <c r="AM21" s="3">
        <v>4.5</v>
      </c>
      <c r="AN21" s="3">
        <v>16.600000000000001</v>
      </c>
      <c r="AO21" s="3">
        <v>78.900000000000006</v>
      </c>
    </row>
    <row r="22" spans="2:41" x14ac:dyDescent="0.2">
      <c r="B22" t="s">
        <v>33</v>
      </c>
      <c r="C22" s="2">
        <v>1159.1307373</v>
      </c>
      <c r="D22">
        <v>13.900000000000002</v>
      </c>
      <c r="E22">
        <v>66.5</v>
      </c>
      <c r="F22">
        <v>19.600000000000001</v>
      </c>
      <c r="G22">
        <v>19.600000000000001</v>
      </c>
      <c r="S22" t="s">
        <v>33</v>
      </c>
      <c r="T22" s="2">
        <v>1159.1307373</v>
      </c>
      <c r="U22">
        <v>13.900000000000002</v>
      </c>
      <c r="V22">
        <v>66.5</v>
      </c>
      <c r="W22">
        <v>19.600000000000001</v>
      </c>
      <c r="AK22">
        <v>25</v>
      </c>
      <c r="AL22" s="2">
        <v>1159.1307373</v>
      </c>
      <c r="AM22" s="3">
        <v>13.900000000000002</v>
      </c>
      <c r="AN22" s="3">
        <v>66.5</v>
      </c>
      <c r="AO22" s="3">
        <v>19.600000000000001</v>
      </c>
    </row>
    <row r="23" spans="2:41" x14ac:dyDescent="0.2">
      <c r="B23" t="s">
        <v>34</v>
      </c>
      <c r="C23" s="2">
        <v>1113.4626464800001</v>
      </c>
      <c r="D23">
        <v>5.0949050949050951</v>
      </c>
      <c r="E23">
        <v>6.4935064935064943</v>
      </c>
      <c r="F23">
        <v>88.411588411588426</v>
      </c>
      <c r="G23">
        <v>88.411588411588426</v>
      </c>
      <c r="S23" t="s">
        <v>34</v>
      </c>
      <c r="T23" s="2">
        <v>1113.4626464800001</v>
      </c>
      <c r="U23">
        <v>5.0949050949050951</v>
      </c>
      <c r="V23">
        <v>6.4935064935064943</v>
      </c>
      <c r="W23">
        <v>88.411588411588426</v>
      </c>
      <c r="AK23">
        <v>26</v>
      </c>
      <c r="AL23" s="2">
        <v>1113.4626464800001</v>
      </c>
      <c r="AM23" s="3">
        <v>5.0949050949050951</v>
      </c>
      <c r="AN23" s="3">
        <v>6.4935064935064943</v>
      </c>
      <c r="AO23" s="3">
        <v>88.411588411588426</v>
      </c>
    </row>
    <row r="24" spans="2:41" x14ac:dyDescent="0.2">
      <c r="B24">
        <v>27</v>
      </c>
      <c r="C24" s="2">
        <v>995.80053710899995</v>
      </c>
      <c r="D24" s="4">
        <v>7.3999999999999995</v>
      </c>
      <c r="E24" s="4">
        <v>26.400000000000002</v>
      </c>
      <c r="F24" s="4">
        <v>66.2</v>
      </c>
      <c r="G24" s="4">
        <v>66.2</v>
      </c>
      <c r="S24">
        <v>27</v>
      </c>
      <c r="T24" s="2">
        <v>995.80053710899995</v>
      </c>
      <c r="U24" s="4">
        <v>7.3999999999999995</v>
      </c>
      <c r="V24" s="4">
        <v>26.400000000000002</v>
      </c>
      <c r="W24" s="4">
        <v>66.2</v>
      </c>
      <c r="AK24">
        <v>27</v>
      </c>
      <c r="AL24" s="2">
        <v>995.80053710899995</v>
      </c>
      <c r="AM24" s="3">
        <v>7.3999999999999995</v>
      </c>
      <c r="AN24" s="3">
        <v>26.400000000000002</v>
      </c>
      <c r="AO24" s="3">
        <v>66.2</v>
      </c>
    </row>
    <row r="25" spans="2:41" x14ac:dyDescent="0.2">
      <c r="B25" t="s">
        <v>35</v>
      </c>
      <c r="C25" s="2">
        <v>954.46228027300003</v>
      </c>
      <c r="D25">
        <v>6.7</v>
      </c>
      <c r="F25">
        <v>93.300000000000011</v>
      </c>
      <c r="G25">
        <v>93.300000000000011</v>
      </c>
      <c r="S25" t="s">
        <v>35</v>
      </c>
      <c r="T25" s="2">
        <v>954.46228027300003</v>
      </c>
      <c r="U25">
        <v>6.7</v>
      </c>
      <c r="W25">
        <v>93.300000000000011</v>
      </c>
      <c r="AK25">
        <v>28</v>
      </c>
      <c r="AL25" s="2">
        <v>954.46228027300003</v>
      </c>
      <c r="AM25" s="3">
        <v>6.7</v>
      </c>
      <c r="AN25" s="3"/>
      <c r="AO25" s="3">
        <v>93.300000000000011</v>
      </c>
    </row>
    <row r="26" spans="2:41" x14ac:dyDescent="0.2">
      <c r="B26" t="s">
        <v>36</v>
      </c>
      <c r="C26" s="2">
        <v>915.71697998000002</v>
      </c>
      <c r="D26">
        <v>8.2917082917082929</v>
      </c>
      <c r="E26">
        <v>9.290709290709291</v>
      </c>
      <c r="F26">
        <v>82.417582417582423</v>
      </c>
      <c r="G26">
        <v>82.417582417582423</v>
      </c>
      <c r="S26" t="s">
        <v>36</v>
      </c>
      <c r="T26" s="2">
        <v>915.71697998000002</v>
      </c>
      <c r="U26">
        <v>8.2917082917082929</v>
      </c>
      <c r="V26">
        <v>9.290709290709291</v>
      </c>
      <c r="W26">
        <v>82.417582417582423</v>
      </c>
      <c r="AK26">
        <v>29</v>
      </c>
      <c r="AL26" s="2">
        <v>915.71697998000002</v>
      </c>
      <c r="AM26" s="3">
        <v>8.2917082917082929</v>
      </c>
      <c r="AN26" s="3">
        <v>9.290709290709291</v>
      </c>
      <c r="AO26" s="3">
        <v>82.417582417582423</v>
      </c>
    </row>
    <row r="27" spans="2:41" x14ac:dyDescent="0.2">
      <c r="B27">
        <v>30</v>
      </c>
      <c r="C27" s="2">
        <v>887.72674560500002</v>
      </c>
      <c r="D27" s="4">
        <v>7.6076076076076067</v>
      </c>
      <c r="E27" s="4">
        <v>29.2</v>
      </c>
      <c r="F27" s="4">
        <v>63.1</v>
      </c>
      <c r="G27" s="4">
        <v>63.1</v>
      </c>
      <c r="S27">
        <v>30</v>
      </c>
      <c r="T27" s="2">
        <v>887.72674560500002</v>
      </c>
      <c r="U27" s="4">
        <v>7.6076076076076067</v>
      </c>
      <c r="V27" s="4">
        <v>29.2</v>
      </c>
      <c r="W27" s="4">
        <v>63.1</v>
      </c>
      <c r="AK27">
        <v>30</v>
      </c>
      <c r="AL27" s="2">
        <v>887.72674560500002</v>
      </c>
      <c r="AM27" s="3">
        <v>7.6076076076076067</v>
      </c>
      <c r="AN27" s="3">
        <v>29.2</v>
      </c>
      <c r="AO27" s="3">
        <v>63.1</v>
      </c>
    </row>
    <row r="28" spans="2:41" x14ac:dyDescent="0.2">
      <c r="B28" t="s">
        <v>37</v>
      </c>
      <c r="C28" s="2">
        <v>821.85357666000004</v>
      </c>
      <c r="D28">
        <v>10.7</v>
      </c>
      <c r="E28">
        <v>26</v>
      </c>
      <c r="F28">
        <v>63.3</v>
      </c>
      <c r="G28">
        <v>63.3</v>
      </c>
      <c r="S28" t="s">
        <v>37</v>
      </c>
      <c r="T28" s="2">
        <v>821.85357666000004</v>
      </c>
      <c r="U28">
        <v>10.7</v>
      </c>
      <c r="V28">
        <v>26</v>
      </c>
      <c r="W28">
        <v>63.3</v>
      </c>
      <c r="AK28">
        <v>31</v>
      </c>
      <c r="AL28" s="2">
        <v>821.85357666000004</v>
      </c>
      <c r="AM28" s="3">
        <v>10.7</v>
      </c>
      <c r="AN28" s="3">
        <v>26</v>
      </c>
      <c r="AO28" s="3">
        <v>63.3</v>
      </c>
    </row>
    <row r="29" spans="2:41" x14ac:dyDescent="0.2">
      <c r="B29">
        <v>32</v>
      </c>
      <c r="C29" s="2">
        <v>995.80053710899995</v>
      </c>
      <c r="D29" s="4">
        <v>15.215215215215213</v>
      </c>
      <c r="E29" s="4">
        <v>49.5</v>
      </c>
      <c r="F29" s="4">
        <v>35.199999999999996</v>
      </c>
      <c r="G29" s="4">
        <v>35.199999999999996</v>
      </c>
      <c r="S29">
        <v>32</v>
      </c>
      <c r="T29" s="2">
        <v>995.80053710899995</v>
      </c>
      <c r="U29" s="4">
        <v>15.215215215215213</v>
      </c>
      <c r="V29" s="4">
        <v>49.5</v>
      </c>
      <c r="W29" s="4">
        <v>35.199999999999996</v>
      </c>
      <c r="AK29">
        <v>32</v>
      </c>
      <c r="AL29" s="2">
        <v>759</v>
      </c>
      <c r="AM29" s="3">
        <v>15.215215215215213</v>
      </c>
      <c r="AN29" s="3">
        <v>49.5</v>
      </c>
      <c r="AO29" s="3">
        <v>35.199999999999996</v>
      </c>
    </row>
    <row r="30" spans="2:41" x14ac:dyDescent="0.2">
      <c r="B30">
        <v>33</v>
      </c>
      <c r="C30" s="2">
        <v>954.46228027300003</v>
      </c>
      <c r="D30" s="4">
        <v>14.914914914914911</v>
      </c>
      <c r="E30" s="4">
        <v>38.4</v>
      </c>
      <c r="F30" s="4">
        <v>46.6</v>
      </c>
      <c r="G30" s="4">
        <v>46.6</v>
      </c>
      <c r="S30">
        <v>33</v>
      </c>
      <c r="T30" s="2">
        <v>954.46228027300003</v>
      </c>
      <c r="U30" s="4">
        <v>14.914914914914911</v>
      </c>
      <c r="V30" s="4">
        <v>38.4</v>
      </c>
      <c r="W30" s="4">
        <v>46.6</v>
      </c>
      <c r="AK30">
        <v>33</v>
      </c>
      <c r="AL30" s="2">
        <v>698</v>
      </c>
      <c r="AM30" s="3">
        <v>14.914914914914911</v>
      </c>
      <c r="AN30" s="3">
        <v>38.4</v>
      </c>
      <c r="AO30" s="3">
        <v>46.6</v>
      </c>
    </row>
    <row r="31" spans="2:41" x14ac:dyDescent="0.2">
      <c r="B31" t="s">
        <v>38</v>
      </c>
      <c r="C31" s="2">
        <v>915.71697998000002</v>
      </c>
      <c r="D31">
        <v>13.900000000000002</v>
      </c>
      <c r="E31">
        <v>66.199999999999989</v>
      </c>
      <c r="F31">
        <v>19.900000000000002</v>
      </c>
      <c r="G31">
        <v>19.900000000000002</v>
      </c>
      <c r="S31" t="s">
        <v>38</v>
      </c>
      <c r="T31" s="2">
        <v>915.71697998000002</v>
      </c>
      <c r="U31">
        <v>13.900000000000002</v>
      </c>
      <c r="V31">
        <v>66.199999999999989</v>
      </c>
      <c r="W31">
        <v>19.900000000000002</v>
      </c>
      <c r="AK31">
        <v>34</v>
      </c>
      <c r="AL31" s="2">
        <v>671</v>
      </c>
      <c r="AM31" s="3">
        <v>13.900000000000002</v>
      </c>
      <c r="AN31" s="3">
        <v>66.199999999999989</v>
      </c>
      <c r="AO31" s="3">
        <v>19.900000000000002</v>
      </c>
    </row>
    <row r="32" spans="2:41" x14ac:dyDescent="0.2">
      <c r="B32" t="s">
        <v>39</v>
      </c>
      <c r="C32" s="2">
        <v>887.72674560500002</v>
      </c>
      <c r="D32">
        <v>10.7</v>
      </c>
      <c r="E32">
        <v>41</v>
      </c>
      <c r="F32">
        <v>48.3</v>
      </c>
      <c r="G32">
        <v>48.3</v>
      </c>
      <c r="S32" t="s">
        <v>39</v>
      </c>
      <c r="T32" s="2">
        <v>887.72674560500002</v>
      </c>
      <c r="U32">
        <v>10.7</v>
      </c>
      <c r="V32">
        <v>41</v>
      </c>
      <c r="W32">
        <v>48.3</v>
      </c>
      <c r="AK32">
        <v>35</v>
      </c>
      <c r="AL32" s="2">
        <v>613</v>
      </c>
      <c r="AM32" s="3">
        <v>10.7</v>
      </c>
      <c r="AN32" s="3">
        <v>41</v>
      </c>
      <c r="AO32" s="3">
        <v>48.3</v>
      </c>
    </row>
    <row r="33" spans="2:41" x14ac:dyDescent="0.2">
      <c r="B33">
        <v>36</v>
      </c>
      <c r="C33" s="2">
        <v>821.85357666000004</v>
      </c>
      <c r="D33" s="4">
        <v>9.7902097902097882</v>
      </c>
      <c r="E33" s="4">
        <v>35.9</v>
      </c>
      <c r="F33" s="4">
        <v>54.400000000000006</v>
      </c>
      <c r="G33" s="4">
        <v>54.400000000000006</v>
      </c>
      <c r="S33">
        <v>36</v>
      </c>
      <c r="T33" s="2">
        <v>821.85357666000004</v>
      </c>
      <c r="U33" s="4">
        <v>9.7902097902097882</v>
      </c>
      <c r="V33" s="4">
        <v>35.9</v>
      </c>
      <c r="W33" s="4">
        <v>54.400000000000006</v>
      </c>
      <c r="AK33">
        <v>36</v>
      </c>
      <c r="AL33" s="2">
        <v>584</v>
      </c>
      <c r="AM33" s="3">
        <v>9.7902097902097882</v>
      </c>
      <c r="AN33" s="3">
        <v>35.9</v>
      </c>
      <c r="AO33" s="3">
        <v>54.400000000000006</v>
      </c>
    </row>
    <row r="34" spans="2:41" x14ac:dyDescent="0.2">
      <c r="B34" t="s">
        <v>40</v>
      </c>
      <c r="C34" s="2">
        <v>506.78582763700001</v>
      </c>
      <c r="D34">
        <v>12.9</v>
      </c>
      <c r="E34">
        <v>42.6</v>
      </c>
      <c r="F34">
        <v>44.500000000000007</v>
      </c>
      <c r="G34">
        <v>44.500000000000007</v>
      </c>
      <c r="S34" t="s">
        <v>40</v>
      </c>
      <c r="T34" s="2">
        <v>506.78582763700001</v>
      </c>
      <c r="U34">
        <v>12.9</v>
      </c>
      <c r="V34">
        <v>42.6</v>
      </c>
      <c r="W34">
        <v>44.500000000000007</v>
      </c>
      <c r="AK34">
        <v>37</v>
      </c>
      <c r="AL34" s="2">
        <v>506.78582763700001</v>
      </c>
      <c r="AM34" s="3">
        <v>12.9</v>
      </c>
      <c r="AN34" s="3">
        <v>42.6</v>
      </c>
      <c r="AO34" s="3">
        <v>44.500000000000007</v>
      </c>
    </row>
    <row r="35" spans="2:41" x14ac:dyDescent="0.2">
      <c r="B35" t="s">
        <v>41</v>
      </c>
      <c r="C35" s="2">
        <v>459.41976928700001</v>
      </c>
      <c r="D35">
        <v>13.900000000000002</v>
      </c>
      <c r="E35">
        <v>43.4</v>
      </c>
      <c r="F35">
        <v>42.699999999999996</v>
      </c>
      <c r="G35">
        <v>42.699999999999996</v>
      </c>
      <c r="S35" t="s">
        <v>41</v>
      </c>
      <c r="T35" s="2">
        <v>459.41976928700001</v>
      </c>
      <c r="U35">
        <v>13.900000000000002</v>
      </c>
      <c r="V35">
        <v>43.4</v>
      </c>
      <c r="W35">
        <v>42.699999999999996</v>
      </c>
      <c r="AK35">
        <v>38</v>
      </c>
      <c r="AL35" s="2">
        <v>459.41976928700001</v>
      </c>
      <c r="AM35" s="3">
        <v>13.900000000000002</v>
      </c>
      <c r="AN35" s="3">
        <v>43.4</v>
      </c>
      <c r="AO35" s="3">
        <v>42.699999999999996</v>
      </c>
    </row>
    <row r="36" spans="2:41" x14ac:dyDescent="0.2">
      <c r="B36">
        <v>39</v>
      </c>
      <c r="C36" s="2">
        <v>436.990478516</v>
      </c>
      <c r="D36" s="4">
        <v>11.400000000000002</v>
      </c>
      <c r="E36" s="4">
        <v>41.5</v>
      </c>
      <c r="F36" s="4">
        <v>47.099999999999994</v>
      </c>
      <c r="G36" s="4">
        <v>47.099999999999994</v>
      </c>
      <c r="S36">
        <v>39</v>
      </c>
      <c r="T36" s="2">
        <v>436.990478516</v>
      </c>
      <c r="U36" s="4">
        <v>11.400000000000002</v>
      </c>
      <c r="V36" s="4">
        <v>41.5</v>
      </c>
      <c r="W36" s="4">
        <v>47.099999999999994</v>
      </c>
      <c r="AK36">
        <v>39</v>
      </c>
      <c r="AL36" s="2">
        <v>436.990478516</v>
      </c>
      <c r="AM36" s="3">
        <v>11.400000000000002</v>
      </c>
      <c r="AN36" s="3">
        <v>41.5</v>
      </c>
      <c r="AO36" s="3">
        <v>47.099999999999994</v>
      </c>
    </row>
    <row r="37" spans="2:41" x14ac:dyDescent="0.2">
      <c r="B37" t="s">
        <v>42</v>
      </c>
      <c r="C37" s="2">
        <v>396.48348999000001</v>
      </c>
      <c r="D37">
        <v>11.700000000000001</v>
      </c>
      <c r="E37">
        <v>39.900000000000006</v>
      </c>
      <c r="F37">
        <v>48.4</v>
      </c>
      <c r="G37">
        <v>48.4</v>
      </c>
      <c r="S37" t="s">
        <v>42</v>
      </c>
      <c r="T37" s="2">
        <v>396.48348999000001</v>
      </c>
      <c r="U37">
        <v>11.700000000000001</v>
      </c>
      <c r="V37">
        <v>39.900000000000006</v>
      </c>
      <c r="W37">
        <v>48.4</v>
      </c>
      <c r="AK37">
        <v>40</v>
      </c>
      <c r="AL37" s="2">
        <v>396.48348999000001</v>
      </c>
      <c r="AM37" s="3">
        <v>11.700000000000001</v>
      </c>
      <c r="AN37" s="3">
        <v>39.900000000000006</v>
      </c>
      <c r="AO37" s="3">
        <v>48.4</v>
      </c>
    </row>
    <row r="38" spans="2:41" x14ac:dyDescent="0.2">
      <c r="B38" t="s">
        <v>43</v>
      </c>
      <c r="C38" s="2">
        <v>377.78582763700001</v>
      </c>
      <c r="D38">
        <v>9.2907092907092892</v>
      </c>
      <c r="E38">
        <v>64.135864135864125</v>
      </c>
      <c r="F38">
        <v>26.573426573426573</v>
      </c>
      <c r="G38">
        <v>26.573426573426573</v>
      </c>
      <c r="S38" t="s">
        <v>43</v>
      </c>
      <c r="T38" s="2">
        <v>377.78582763700001</v>
      </c>
      <c r="U38">
        <v>9.2907092907092892</v>
      </c>
      <c r="V38">
        <v>64.135864135864125</v>
      </c>
      <c r="W38">
        <v>26.573426573426573</v>
      </c>
      <c r="AK38">
        <v>41</v>
      </c>
      <c r="AL38" s="2">
        <v>377.78582763700001</v>
      </c>
      <c r="AM38" s="3">
        <v>9.2907092907092892</v>
      </c>
      <c r="AN38" s="3">
        <v>64.135864135864125</v>
      </c>
      <c r="AO38" s="3">
        <v>26.573426573426573</v>
      </c>
    </row>
    <row r="39" spans="2:41" x14ac:dyDescent="0.2">
      <c r="B39">
        <v>42</v>
      </c>
      <c r="C39" s="2">
        <v>343.36782836899999</v>
      </c>
      <c r="D39" s="4">
        <v>9.9900099900099892</v>
      </c>
      <c r="E39" s="4">
        <v>37.5</v>
      </c>
      <c r="F39" s="4">
        <v>52.6</v>
      </c>
      <c r="G39" s="4">
        <v>52.6</v>
      </c>
      <c r="S39">
        <v>42</v>
      </c>
      <c r="T39" s="2">
        <v>343.36782836899999</v>
      </c>
      <c r="U39" s="4">
        <v>9.9900099900099892</v>
      </c>
      <c r="V39" s="4">
        <v>37.5</v>
      </c>
      <c r="W39" s="4">
        <v>52.6</v>
      </c>
      <c r="AK39">
        <v>42</v>
      </c>
      <c r="AL39" s="2">
        <v>343.36782836899999</v>
      </c>
      <c r="AM39" s="3">
        <v>9.9900099900099892</v>
      </c>
      <c r="AN39" s="3">
        <v>37.5</v>
      </c>
      <c r="AO39" s="3">
        <v>52.6</v>
      </c>
    </row>
    <row r="40" spans="2:41" x14ac:dyDescent="0.2">
      <c r="B40" t="s">
        <v>44</v>
      </c>
      <c r="C40" s="2">
        <v>316</v>
      </c>
      <c r="D40">
        <v>8.9910089910089894</v>
      </c>
      <c r="E40">
        <v>66.833166833166828</v>
      </c>
      <c r="F40">
        <v>24.175824175824172</v>
      </c>
      <c r="G40">
        <v>24.175824175824172</v>
      </c>
      <c r="S40" t="s">
        <v>44</v>
      </c>
      <c r="T40" s="2">
        <v>316</v>
      </c>
      <c r="U40">
        <v>8.9910089910089894</v>
      </c>
      <c r="V40">
        <v>66.833166833166828</v>
      </c>
      <c r="W40">
        <v>24.175824175824172</v>
      </c>
      <c r="AK40">
        <v>43</v>
      </c>
      <c r="AL40" s="2">
        <v>316</v>
      </c>
      <c r="AM40" s="3">
        <v>8.9910089910089894</v>
      </c>
      <c r="AN40" s="3">
        <v>66.833166833166828</v>
      </c>
      <c r="AO40" s="3">
        <v>24.175824175824172</v>
      </c>
    </row>
    <row r="41" spans="2:41" x14ac:dyDescent="0.2">
      <c r="B41">
        <v>44</v>
      </c>
      <c r="C41" s="2">
        <v>303.63504028300002</v>
      </c>
      <c r="D41" s="4">
        <v>10.189810189810187</v>
      </c>
      <c r="E41" s="4">
        <v>41.699999999999996</v>
      </c>
      <c r="F41" s="4">
        <v>48.199999999999996</v>
      </c>
      <c r="G41" s="4">
        <v>48.199999999999996</v>
      </c>
      <c r="S41">
        <v>44</v>
      </c>
      <c r="T41" s="2">
        <v>303.63504028300002</v>
      </c>
      <c r="U41" s="4">
        <v>10.189810189810187</v>
      </c>
      <c r="V41" s="4">
        <v>41.699999999999996</v>
      </c>
      <c r="W41" s="4">
        <v>48.199999999999996</v>
      </c>
      <c r="AK41">
        <v>44</v>
      </c>
      <c r="AL41" s="2">
        <v>303.63504028300002</v>
      </c>
      <c r="AM41" s="3">
        <v>10.189810189810187</v>
      </c>
      <c r="AN41" s="3">
        <v>41.699999999999996</v>
      </c>
      <c r="AO41" s="3">
        <v>48.199999999999996</v>
      </c>
    </row>
    <row r="42" spans="2:41" x14ac:dyDescent="0.2">
      <c r="B42">
        <v>45</v>
      </c>
      <c r="C42" s="2">
        <v>284.71322631800001</v>
      </c>
      <c r="D42" s="4">
        <v>7.6000000000000014</v>
      </c>
      <c r="E42" s="4">
        <v>33.5</v>
      </c>
      <c r="F42" s="4">
        <v>58.9</v>
      </c>
      <c r="G42" s="4">
        <v>58.9</v>
      </c>
      <c r="S42">
        <v>45</v>
      </c>
      <c r="T42" s="2">
        <v>284.71322631800001</v>
      </c>
      <c r="U42" s="4">
        <v>7.6000000000000014</v>
      </c>
      <c r="V42" s="4">
        <v>33.5</v>
      </c>
      <c r="W42" s="4">
        <v>58.9</v>
      </c>
      <c r="AK42">
        <v>45</v>
      </c>
      <c r="AL42" s="2">
        <v>284.71322631800001</v>
      </c>
      <c r="AM42" s="3">
        <v>7.6000000000000014</v>
      </c>
      <c r="AN42" s="3">
        <v>33.5</v>
      </c>
      <c r="AO42" s="3">
        <v>58.9</v>
      </c>
    </row>
    <row r="43" spans="2:41" x14ac:dyDescent="0.2">
      <c r="B43" t="s">
        <v>45</v>
      </c>
      <c r="C43" s="2">
        <v>294.68939209000001</v>
      </c>
      <c r="D43">
        <v>6.0939060939060932</v>
      </c>
      <c r="E43">
        <v>45.954045954045952</v>
      </c>
      <c r="F43">
        <v>47.952047952047941</v>
      </c>
      <c r="G43">
        <v>47.952047952047941</v>
      </c>
      <c r="S43" t="s">
        <v>45</v>
      </c>
      <c r="T43" s="2">
        <v>294.68939209000001</v>
      </c>
      <c r="U43">
        <v>6.0939060939060932</v>
      </c>
      <c r="V43">
        <v>45.954045954045952</v>
      </c>
      <c r="W43">
        <v>47.952047952047941</v>
      </c>
      <c r="AK43">
        <v>46</v>
      </c>
      <c r="AL43" s="2">
        <v>294.68939209000001</v>
      </c>
      <c r="AM43" s="3">
        <v>6.0939060939060932</v>
      </c>
      <c r="AN43" s="3">
        <v>45.954045954045952</v>
      </c>
      <c r="AO43" s="3">
        <v>47.952047952047941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soil_all</vt:lpstr>
      <vt:lpstr>soil_234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</dc:creator>
  <cp:lastModifiedBy>Lizzie Paulus</cp:lastModifiedBy>
  <dcterms:created xsi:type="dcterms:W3CDTF">2022-06-07T03:32:22Z</dcterms:created>
  <dcterms:modified xsi:type="dcterms:W3CDTF">2026-03-10T19:44:03Z</dcterms:modified>
</cp:coreProperties>
</file>