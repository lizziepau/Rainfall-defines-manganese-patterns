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.xml" ContentType="application/vnd.openxmlformats-officedocument.drawingml.chartshape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aulus/Library/Mobile Documents/com~apple~CloudDocs/Stanford/PhD/PhD Lab/Projects/Thesis_Hawaii/Kohala Gradient/Data/Redox/"/>
    </mc:Choice>
  </mc:AlternateContent>
  <xr:revisionPtr revIDLastSave="0" documentId="13_ncr:1_{F5E6D196-7485-5C49-AB9D-4C2AB810D981}" xr6:coauthVersionLast="47" xr6:coauthVersionMax="47" xr10:uidLastSave="{00000000-0000-0000-0000-000000000000}"/>
  <bookViews>
    <workbookView xWindow="9860" yWindow="760" windowWidth="20380" windowHeight="18880" xr2:uid="{27F9A2AC-F164-4994-BDA4-1AE7EC4E97B1}"/>
  </bookViews>
  <sheets>
    <sheet name="Gradient Redox" sheetId="1" r:id="rId1"/>
    <sheet name="Pourbaix" sheetId="3" r:id="rId2"/>
    <sheet name="Gradient Redox_SH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9" i="1" l="1"/>
  <c r="I23" i="1"/>
  <c r="G5" i="3"/>
  <c r="G6" i="3"/>
  <c r="G7" i="3"/>
  <c r="G8" i="3"/>
  <c r="H8" i="3" s="1"/>
  <c r="G9" i="3"/>
  <c r="H9" i="3" s="1"/>
  <c r="G10" i="3"/>
  <c r="H10" i="3" s="1"/>
  <c r="G11" i="3"/>
  <c r="H11" i="3" s="1"/>
  <c r="G12" i="3"/>
  <c r="G13" i="3"/>
  <c r="H13" i="3" s="1"/>
  <c r="G4" i="3"/>
  <c r="H5" i="3"/>
  <c r="H6" i="3"/>
  <c r="H7" i="3"/>
  <c r="H12" i="3"/>
  <c r="H4" i="3"/>
  <c r="F5" i="3"/>
  <c r="D15" i="1"/>
  <c r="D5" i="1"/>
  <c r="D6" i="1"/>
  <c r="D7" i="1"/>
  <c r="H7" i="1" s="1"/>
  <c r="D8" i="1"/>
  <c r="D9" i="1"/>
  <c r="D10" i="1"/>
  <c r="D11" i="1"/>
  <c r="D12" i="1"/>
  <c r="D13" i="1"/>
  <c r="D14" i="1"/>
  <c r="G14" i="1" s="1"/>
  <c r="D16" i="1"/>
  <c r="H15" i="1"/>
  <c r="D4" i="1"/>
  <c r="M39" i="1"/>
  <c r="Q39" i="1" s="1"/>
  <c r="M40" i="1"/>
  <c r="Q40" i="1" s="1"/>
  <c r="M41" i="1"/>
  <c r="P41" i="1" s="1"/>
  <c r="M42" i="1"/>
  <c r="M43" i="1"/>
  <c r="M44" i="1"/>
  <c r="Q44" i="1" s="1"/>
  <c r="M45" i="1"/>
  <c r="Q45" i="1" s="1"/>
  <c r="M46" i="1"/>
  <c r="Q46" i="1" s="1"/>
  <c r="M47" i="1"/>
  <c r="Q47" i="1" s="1"/>
  <c r="M48" i="1"/>
  <c r="M49" i="1"/>
  <c r="M50" i="1"/>
  <c r="P50" i="1" s="1"/>
  <c r="M51" i="1"/>
  <c r="Q51" i="1" s="1"/>
  <c r="P49" i="1"/>
  <c r="Q43" i="1"/>
  <c r="Q42" i="1"/>
  <c r="P45" i="1"/>
  <c r="Q48" i="1"/>
  <c r="P48" i="1"/>
  <c r="E53" i="2"/>
  <c r="E54" i="2"/>
  <c r="E55" i="2"/>
  <c r="E56" i="2"/>
  <c r="E57" i="2"/>
  <c r="E58" i="2"/>
  <c r="E59" i="2"/>
  <c r="E60" i="2"/>
  <c r="E61" i="2"/>
  <c r="E62" i="2"/>
  <c r="E63" i="2"/>
  <c r="E64" i="2"/>
  <c r="E52" i="2"/>
  <c r="M50" i="2"/>
  <c r="M49" i="2"/>
  <c r="M48" i="2"/>
  <c r="M47" i="2"/>
  <c r="M46" i="2"/>
  <c r="M45" i="2"/>
  <c r="M44" i="2"/>
  <c r="M43" i="2"/>
  <c r="M42" i="2"/>
  <c r="M41" i="2"/>
  <c r="M40" i="2"/>
  <c r="M39" i="2"/>
  <c r="F39" i="2"/>
  <c r="F40" i="2" s="1"/>
  <c r="F41" i="2" s="1"/>
  <c r="F42" i="2" s="1"/>
  <c r="F43" i="2" s="1"/>
  <c r="F44" i="2" s="1"/>
  <c r="M38" i="2"/>
  <c r="M37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D1007" i="1"/>
  <c r="B1007" i="1"/>
  <c r="D1006" i="1"/>
  <c r="B1006" i="1"/>
  <c r="D1005" i="1"/>
  <c r="B1005" i="1"/>
  <c r="D1004" i="1"/>
  <c r="B1004" i="1"/>
  <c r="D1003" i="1"/>
  <c r="B1003" i="1"/>
  <c r="D1002" i="1"/>
  <c r="B1002" i="1"/>
  <c r="D1001" i="1"/>
  <c r="B1001" i="1"/>
  <c r="D1000" i="1"/>
  <c r="B1000" i="1"/>
  <c r="D999" i="1"/>
  <c r="B999" i="1"/>
  <c r="D998" i="1"/>
  <c r="B998" i="1"/>
  <c r="D997" i="1"/>
  <c r="B997" i="1"/>
  <c r="D996" i="1"/>
  <c r="B996" i="1"/>
  <c r="D995" i="1"/>
  <c r="B995" i="1"/>
  <c r="D994" i="1"/>
  <c r="B994" i="1"/>
  <c r="D993" i="1"/>
  <c r="B993" i="1"/>
  <c r="D992" i="1"/>
  <c r="B992" i="1"/>
  <c r="D991" i="1"/>
  <c r="B991" i="1"/>
  <c r="D990" i="1"/>
  <c r="B990" i="1"/>
  <c r="D989" i="1"/>
  <c r="B989" i="1"/>
  <c r="D988" i="1"/>
  <c r="B988" i="1"/>
  <c r="D987" i="1"/>
  <c r="B987" i="1"/>
  <c r="D986" i="1"/>
  <c r="B986" i="1"/>
  <c r="D985" i="1"/>
  <c r="B985" i="1"/>
  <c r="D984" i="1"/>
  <c r="B984" i="1"/>
  <c r="D983" i="1"/>
  <c r="B983" i="1"/>
  <c r="D982" i="1"/>
  <c r="B982" i="1"/>
  <c r="D981" i="1"/>
  <c r="B981" i="1"/>
  <c r="D980" i="1"/>
  <c r="B980" i="1"/>
  <c r="D979" i="1"/>
  <c r="B979" i="1"/>
  <c r="D978" i="1"/>
  <c r="B978" i="1"/>
  <c r="D977" i="1"/>
  <c r="B977" i="1"/>
  <c r="D976" i="1"/>
  <c r="B976" i="1"/>
  <c r="D975" i="1"/>
  <c r="B975" i="1"/>
  <c r="D974" i="1"/>
  <c r="B974" i="1"/>
  <c r="D973" i="1"/>
  <c r="B973" i="1"/>
  <c r="D972" i="1"/>
  <c r="B972" i="1"/>
  <c r="D971" i="1"/>
  <c r="B971" i="1"/>
  <c r="D970" i="1"/>
  <c r="B970" i="1"/>
  <c r="D969" i="1"/>
  <c r="B969" i="1"/>
  <c r="D968" i="1"/>
  <c r="B968" i="1"/>
  <c r="D967" i="1"/>
  <c r="B967" i="1"/>
  <c r="D966" i="1"/>
  <c r="B966" i="1"/>
  <c r="D965" i="1"/>
  <c r="B965" i="1"/>
  <c r="D964" i="1"/>
  <c r="B964" i="1"/>
  <c r="D963" i="1"/>
  <c r="B963" i="1"/>
  <c r="D962" i="1"/>
  <c r="B962" i="1"/>
  <c r="D961" i="1"/>
  <c r="B961" i="1"/>
  <c r="D960" i="1"/>
  <c r="B960" i="1"/>
  <c r="D959" i="1"/>
  <c r="B959" i="1"/>
  <c r="D958" i="1"/>
  <c r="B958" i="1"/>
  <c r="D957" i="1"/>
  <c r="B957" i="1"/>
  <c r="D956" i="1"/>
  <c r="B956" i="1"/>
  <c r="D955" i="1"/>
  <c r="B955" i="1"/>
  <c r="D954" i="1"/>
  <c r="B954" i="1"/>
  <c r="D953" i="1"/>
  <c r="B953" i="1"/>
  <c r="D952" i="1"/>
  <c r="B952" i="1"/>
  <c r="D951" i="1"/>
  <c r="B951" i="1"/>
  <c r="D950" i="1"/>
  <c r="B950" i="1"/>
  <c r="D949" i="1"/>
  <c r="B949" i="1"/>
  <c r="D948" i="1"/>
  <c r="B948" i="1"/>
  <c r="D947" i="1"/>
  <c r="B947" i="1"/>
  <c r="D946" i="1"/>
  <c r="B946" i="1"/>
  <c r="D945" i="1"/>
  <c r="B945" i="1"/>
  <c r="D944" i="1"/>
  <c r="B944" i="1"/>
  <c r="D943" i="1"/>
  <c r="B943" i="1"/>
  <c r="D942" i="1"/>
  <c r="B942" i="1"/>
  <c r="D941" i="1"/>
  <c r="B941" i="1"/>
  <c r="D940" i="1"/>
  <c r="B940" i="1"/>
  <c r="D939" i="1"/>
  <c r="B939" i="1"/>
  <c r="D938" i="1"/>
  <c r="B938" i="1"/>
  <c r="D937" i="1"/>
  <c r="B937" i="1"/>
  <c r="D936" i="1"/>
  <c r="B936" i="1"/>
  <c r="E935" i="1"/>
  <c r="D935" i="1"/>
  <c r="B935" i="1"/>
  <c r="D931" i="1"/>
  <c r="B931" i="1"/>
  <c r="D930" i="1"/>
  <c r="B930" i="1"/>
  <c r="D929" i="1"/>
  <c r="B929" i="1"/>
  <c r="D928" i="1"/>
  <c r="B928" i="1"/>
  <c r="D927" i="1"/>
  <c r="B927" i="1"/>
  <c r="D926" i="1"/>
  <c r="B926" i="1"/>
  <c r="D925" i="1"/>
  <c r="B925" i="1"/>
  <c r="D924" i="1"/>
  <c r="B924" i="1"/>
  <c r="D923" i="1"/>
  <c r="B923" i="1"/>
  <c r="D922" i="1"/>
  <c r="B922" i="1"/>
  <c r="D921" i="1"/>
  <c r="B921" i="1"/>
  <c r="D920" i="1"/>
  <c r="B920" i="1"/>
  <c r="D919" i="1"/>
  <c r="B919" i="1"/>
  <c r="D918" i="1"/>
  <c r="B918" i="1"/>
  <c r="D917" i="1"/>
  <c r="B917" i="1"/>
  <c r="D916" i="1"/>
  <c r="B916" i="1"/>
  <c r="D915" i="1"/>
  <c r="B915" i="1"/>
  <c r="D914" i="1"/>
  <c r="B914" i="1"/>
  <c r="D913" i="1"/>
  <c r="B913" i="1"/>
  <c r="D912" i="1"/>
  <c r="B912" i="1"/>
  <c r="D911" i="1"/>
  <c r="B911" i="1"/>
  <c r="D910" i="1"/>
  <c r="B910" i="1"/>
  <c r="D909" i="1"/>
  <c r="B909" i="1"/>
  <c r="D908" i="1"/>
  <c r="B908" i="1"/>
  <c r="D907" i="1"/>
  <c r="B907" i="1"/>
  <c r="D906" i="1"/>
  <c r="B906" i="1"/>
  <c r="D905" i="1"/>
  <c r="B905" i="1"/>
  <c r="D904" i="1"/>
  <c r="B904" i="1"/>
  <c r="D903" i="1"/>
  <c r="B903" i="1"/>
  <c r="D902" i="1"/>
  <c r="B902" i="1"/>
  <c r="D901" i="1"/>
  <c r="B901" i="1"/>
  <c r="D900" i="1"/>
  <c r="B900" i="1"/>
  <c r="D899" i="1"/>
  <c r="B899" i="1"/>
  <c r="D898" i="1"/>
  <c r="B898" i="1"/>
  <c r="D897" i="1"/>
  <c r="B897" i="1"/>
  <c r="D896" i="1"/>
  <c r="B896" i="1"/>
  <c r="D895" i="1"/>
  <c r="B895" i="1"/>
  <c r="D894" i="1"/>
  <c r="B894" i="1"/>
  <c r="D893" i="1"/>
  <c r="B893" i="1"/>
  <c r="D892" i="1"/>
  <c r="B892" i="1"/>
  <c r="D891" i="1"/>
  <c r="B891" i="1"/>
  <c r="D890" i="1"/>
  <c r="B890" i="1"/>
  <c r="D889" i="1"/>
  <c r="B889" i="1"/>
  <c r="D888" i="1"/>
  <c r="B888" i="1"/>
  <c r="D887" i="1"/>
  <c r="B887" i="1"/>
  <c r="D886" i="1"/>
  <c r="B886" i="1"/>
  <c r="D885" i="1"/>
  <c r="B885" i="1"/>
  <c r="D884" i="1"/>
  <c r="B884" i="1"/>
  <c r="D883" i="1"/>
  <c r="B883" i="1"/>
  <c r="D882" i="1"/>
  <c r="B882" i="1"/>
  <c r="D881" i="1"/>
  <c r="B881" i="1"/>
  <c r="D880" i="1"/>
  <c r="B880" i="1"/>
  <c r="D879" i="1"/>
  <c r="B879" i="1"/>
  <c r="D878" i="1"/>
  <c r="B878" i="1"/>
  <c r="D877" i="1"/>
  <c r="B877" i="1"/>
  <c r="D876" i="1"/>
  <c r="B876" i="1"/>
  <c r="D875" i="1"/>
  <c r="B875" i="1"/>
  <c r="D874" i="1"/>
  <c r="B874" i="1"/>
  <c r="D873" i="1"/>
  <c r="B873" i="1"/>
  <c r="D872" i="1"/>
  <c r="B872" i="1"/>
  <c r="D871" i="1"/>
  <c r="B871" i="1"/>
  <c r="D870" i="1"/>
  <c r="B870" i="1"/>
  <c r="D869" i="1"/>
  <c r="B869" i="1"/>
  <c r="D868" i="1"/>
  <c r="B868" i="1"/>
  <c r="D867" i="1"/>
  <c r="B867" i="1"/>
  <c r="D866" i="1"/>
  <c r="B866" i="1"/>
  <c r="D865" i="1"/>
  <c r="B865" i="1"/>
  <c r="D864" i="1"/>
  <c r="B864" i="1"/>
  <c r="D863" i="1"/>
  <c r="B863" i="1"/>
  <c r="D862" i="1"/>
  <c r="B862" i="1"/>
  <c r="D861" i="1"/>
  <c r="B861" i="1"/>
  <c r="D860" i="1"/>
  <c r="B860" i="1"/>
  <c r="E859" i="1"/>
  <c r="D859" i="1"/>
  <c r="B859" i="1"/>
  <c r="D855" i="1"/>
  <c r="B855" i="1"/>
  <c r="D854" i="1"/>
  <c r="B854" i="1"/>
  <c r="D853" i="1"/>
  <c r="B853" i="1"/>
  <c r="D852" i="1"/>
  <c r="B852" i="1"/>
  <c r="D851" i="1"/>
  <c r="B851" i="1"/>
  <c r="D850" i="1"/>
  <c r="B850" i="1"/>
  <c r="D849" i="1"/>
  <c r="B849" i="1"/>
  <c r="D848" i="1"/>
  <c r="B848" i="1"/>
  <c r="D847" i="1"/>
  <c r="B847" i="1"/>
  <c r="D846" i="1"/>
  <c r="B846" i="1"/>
  <c r="D845" i="1"/>
  <c r="B845" i="1"/>
  <c r="D844" i="1"/>
  <c r="B844" i="1"/>
  <c r="D843" i="1"/>
  <c r="B843" i="1"/>
  <c r="D842" i="1"/>
  <c r="B842" i="1"/>
  <c r="D841" i="1"/>
  <c r="B841" i="1"/>
  <c r="D840" i="1"/>
  <c r="B840" i="1"/>
  <c r="D839" i="1"/>
  <c r="B839" i="1"/>
  <c r="D838" i="1"/>
  <c r="B838" i="1"/>
  <c r="D837" i="1"/>
  <c r="B837" i="1"/>
  <c r="D836" i="1"/>
  <c r="B836" i="1"/>
  <c r="D835" i="1"/>
  <c r="B835" i="1"/>
  <c r="D834" i="1"/>
  <c r="B834" i="1"/>
  <c r="D833" i="1"/>
  <c r="B833" i="1"/>
  <c r="D832" i="1"/>
  <c r="B832" i="1"/>
  <c r="D831" i="1"/>
  <c r="B831" i="1"/>
  <c r="D830" i="1"/>
  <c r="B830" i="1"/>
  <c r="D829" i="1"/>
  <c r="B829" i="1"/>
  <c r="D828" i="1"/>
  <c r="B828" i="1"/>
  <c r="D827" i="1"/>
  <c r="B827" i="1"/>
  <c r="D826" i="1"/>
  <c r="B826" i="1"/>
  <c r="D825" i="1"/>
  <c r="B825" i="1"/>
  <c r="D824" i="1"/>
  <c r="B824" i="1"/>
  <c r="D823" i="1"/>
  <c r="B823" i="1"/>
  <c r="D822" i="1"/>
  <c r="B822" i="1"/>
  <c r="D821" i="1"/>
  <c r="B821" i="1"/>
  <c r="D820" i="1"/>
  <c r="B820" i="1"/>
  <c r="D819" i="1"/>
  <c r="B819" i="1"/>
  <c r="D818" i="1"/>
  <c r="B818" i="1"/>
  <c r="D817" i="1"/>
  <c r="B817" i="1"/>
  <c r="D816" i="1"/>
  <c r="B816" i="1"/>
  <c r="D815" i="1"/>
  <c r="B815" i="1"/>
  <c r="D814" i="1"/>
  <c r="B814" i="1"/>
  <c r="D813" i="1"/>
  <c r="B813" i="1"/>
  <c r="D812" i="1"/>
  <c r="B812" i="1"/>
  <c r="D811" i="1"/>
  <c r="B811" i="1"/>
  <c r="D810" i="1"/>
  <c r="B810" i="1"/>
  <c r="D809" i="1"/>
  <c r="B809" i="1"/>
  <c r="D808" i="1"/>
  <c r="B808" i="1"/>
  <c r="D807" i="1"/>
  <c r="B807" i="1"/>
  <c r="D806" i="1"/>
  <c r="B806" i="1"/>
  <c r="D805" i="1"/>
  <c r="B805" i="1"/>
  <c r="D804" i="1"/>
  <c r="B804" i="1"/>
  <c r="D803" i="1"/>
  <c r="B803" i="1"/>
  <c r="D802" i="1"/>
  <c r="B802" i="1"/>
  <c r="D801" i="1"/>
  <c r="B801" i="1"/>
  <c r="D800" i="1"/>
  <c r="B800" i="1"/>
  <c r="D799" i="1"/>
  <c r="B799" i="1"/>
  <c r="D798" i="1"/>
  <c r="B798" i="1"/>
  <c r="D797" i="1"/>
  <c r="B797" i="1"/>
  <c r="D796" i="1"/>
  <c r="B796" i="1"/>
  <c r="D795" i="1"/>
  <c r="B795" i="1"/>
  <c r="D794" i="1"/>
  <c r="B794" i="1"/>
  <c r="D793" i="1"/>
  <c r="B793" i="1"/>
  <c r="D792" i="1"/>
  <c r="B792" i="1"/>
  <c r="D791" i="1"/>
  <c r="B791" i="1"/>
  <c r="D790" i="1"/>
  <c r="B790" i="1"/>
  <c r="D789" i="1"/>
  <c r="B789" i="1"/>
  <c r="D788" i="1"/>
  <c r="B788" i="1"/>
  <c r="D787" i="1"/>
  <c r="B787" i="1"/>
  <c r="D786" i="1"/>
  <c r="B786" i="1"/>
  <c r="D785" i="1"/>
  <c r="B785" i="1"/>
  <c r="D784" i="1"/>
  <c r="B784" i="1"/>
  <c r="E783" i="1"/>
  <c r="D783" i="1"/>
  <c r="B783" i="1"/>
  <c r="D779" i="1"/>
  <c r="B779" i="1"/>
  <c r="D778" i="1"/>
  <c r="B778" i="1"/>
  <c r="D777" i="1"/>
  <c r="B777" i="1"/>
  <c r="D776" i="1"/>
  <c r="B776" i="1"/>
  <c r="D775" i="1"/>
  <c r="B775" i="1"/>
  <c r="D774" i="1"/>
  <c r="B774" i="1"/>
  <c r="D773" i="1"/>
  <c r="B773" i="1"/>
  <c r="D772" i="1"/>
  <c r="B772" i="1"/>
  <c r="D771" i="1"/>
  <c r="B771" i="1"/>
  <c r="D770" i="1"/>
  <c r="B770" i="1"/>
  <c r="D769" i="1"/>
  <c r="B769" i="1"/>
  <c r="D768" i="1"/>
  <c r="B768" i="1"/>
  <c r="D767" i="1"/>
  <c r="B767" i="1"/>
  <c r="D766" i="1"/>
  <c r="B766" i="1"/>
  <c r="D765" i="1"/>
  <c r="B765" i="1"/>
  <c r="D764" i="1"/>
  <c r="B764" i="1"/>
  <c r="D763" i="1"/>
  <c r="B763" i="1"/>
  <c r="D762" i="1"/>
  <c r="B762" i="1"/>
  <c r="D761" i="1"/>
  <c r="B761" i="1"/>
  <c r="D760" i="1"/>
  <c r="B760" i="1"/>
  <c r="D759" i="1"/>
  <c r="B759" i="1"/>
  <c r="D758" i="1"/>
  <c r="B758" i="1"/>
  <c r="D757" i="1"/>
  <c r="B757" i="1"/>
  <c r="D756" i="1"/>
  <c r="B756" i="1"/>
  <c r="D755" i="1"/>
  <c r="B755" i="1"/>
  <c r="D754" i="1"/>
  <c r="B754" i="1"/>
  <c r="D753" i="1"/>
  <c r="B753" i="1"/>
  <c r="D752" i="1"/>
  <c r="B752" i="1"/>
  <c r="D751" i="1"/>
  <c r="B751" i="1"/>
  <c r="D750" i="1"/>
  <c r="B750" i="1"/>
  <c r="D749" i="1"/>
  <c r="B749" i="1"/>
  <c r="D748" i="1"/>
  <c r="B748" i="1"/>
  <c r="D747" i="1"/>
  <c r="B747" i="1"/>
  <c r="D746" i="1"/>
  <c r="B746" i="1"/>
  <c r="D745" i="1"/>
  <c r="B745" i="1"/>
  <c r="D744" i="1"/>
  <c r="B744" i="1"/>
  <c r="D743" i="1"/>
  <c r="B743" i="1"/>
  <c r="D742" i="1"/>
  <c r="B742" i="1"/>
  <c r="D741" i="1"/>
  <c r="B741" i="1"/>
  <c r="D740" i="1"/>
  <c r="B740" i="1"/>
  <c r="D739" i="1"/>
  <c r="B739" i="1"/>
  <c r="D738" i="1"/>
  <c r="B738" i="1"/>
  <c r="D737" i="1"/>
  <c r="B737" i="1"/>
  <c r="D736" i="1"/>
  <c r="B736" i="1"/>
  <c r="D735" i="1"/>
  <c r="B735" i="1"/>
  <c r="D734" i="1"/>
  <c r="B734" i="1"/>
  <c r="D733" i="1"/>
  <c r="B733" i="1"/>
  <c r="D732" i="1"/>
  <c r="B732" i="1"/>
  <c r="D731" i="1"/>
  <c r="B731" i="1"/>
  <c r="D730" i="1"/>
  <c r="B730" i="1"/>
  <c r="D729" i="1"/>
  <c r="B729" i="1"/>
  <c r="D728" i="1"/>
  <c r="B728" i="1"/>
  <c r="D727" i="1"/>
  <c r="B727" i="1"/>
  <c r="D726" i="1"/>
  <c r="B726" i="1"/>
  <c r="D725" i="1"/>
  <c r="B725" i="1"/>
  <c r="D724" i="1"/>
  <c r="B724" i="1"/>
  <c r="D723" i="1"/>
  <c r="B723" i="1"/>
  <c r="D722" i="1"/>
  <c r="B722" i="1"/>
  <c r="D721" i="1"/>
  <c r="B721" i="1"/>
  <c r="D720" i="1"/>
  <c r="B720" i="1"/>
  <c r="D719" i="1"/>
  <c r="B719" i="1"/>
  <c r="D718" i="1"/>
  <c r="B718" i="1"/>
  <c r="D717" i="1"/>
  <c r="B717" i="1"/>
  <c r="D716" i="1"/>
  <c r="B716" i="1"/>
  <c r="D715" i="1"/>
  <c r="B715" i="1"/>
  <c r="D714" i="1"/>
  <c r="B714" i="1"/>
  <c r="D713" i="1"/>
  <c r="B713" i="1"/>
  <c r="D712" i="1"/>
  <c r="B712" i="1"/>
  <c r="D711" i="1"/>
  <c r="B711" i="1"/>
  <c r="D710" i="1"/>
  <c r="B710" i="1"/>
  <c r="D709" i="1"/>
  <c r="B709" i="1"/>
  <c r="D708" i="1"/>
  <c r="B708" i="1"/>
  <c r="E707" i="1"/>
  <c r="D707" i="1"/>
  <c r="B707" i="1"/>
  <c r="D703" i="1"/>
  <c r="B703" i="1"/>
  <c r="D702" i="1"/>
  <c r="B702" i="1"/>
  <c r="D701" i="1"/>
  <c r="B701" i="1"/>
  <c r="D700" i="1"/>
  <c r="B700" i="1"/>
  <c r="D699" i="1"/>
  <c r="B699" i="1"/>
  <c r="D698" i="1"/>
  <c r="B698" i="1"/>
  <c r="D697" i="1"/>
  <c r="B697" i="1"/>
  <c r="D696" i="1"/>
  <c r="B696" i="1"/>
  <c r="D695" i="1"/>
  <c r="B695" i="1"/>
  <c r="D694" i="1"/>
  <c r="B694" i="1"/>
  <c r="D693" i="1"/>
  <c r="B693" i="1"/>
  <c r="D692" i="1"/>
  <c r="B692" i="1"/>
  <c r="D691" i="1"/>
  <c r="B691" i="1"/>
  <c r="D690" i="1"/>
  <c r="B690" i="1"/>
  <c r="D689" i="1"/>
  <c r="B689" i="1"/>
  <c r="D688" i="1"/>
  <c r="B688" i="1"/>
  <c r="D687" i="1"/>
  <c r="B687" i="1"/>
  <c r="D686" i="1"/>
  <c r="B686" i="1"/>
  <c r="D685" i="1"/>
  <c r="B685" i="1"/>
  <c r="D684" i="1"/>
  <c r="B684" i="1"/>
  <c r="D683" i="1"/>
  <c r="B683" i="1"/>
  <c r="D682" i="1"/>
  <c r="B682" i="1"/>
  <c r="D681" i="1"/>
  <c r="B681" i="1"/>
  <c r="D680" i="1"/>
  <c r="B680" i="1"/>
  <c r="D679" i="1"/>
  <c r="B679" i="1"/>
  <c r="D678" i="1"/>
  <c r="B678" i="1"/>
  <c r="D677" i="1"/>
  <c r="B677" i="1"/>
  <c r="D676" i="1"/>
  <c r="B676" i="1"/>
  <c r="D675" i="1"/>
  <c r="B675" i="1"/>
  <c r="D674" i="1"/>
  <c r="B674" i="1"/>
  <c r="D673" i="1"/>
  <c r="B673" i="1"/>
  <c r="D672" i="1"/>
  <c r="B672" i="1"/>
  <c r="D671" i="1"/>
  <c r="B671" i="1"/>
  <c r="D670" i="1"/>
  <c r="B670" i="1"/>
  <c r="D669" i="1"/>
  <c r="B669" i="1"/>
  <c r="D668" i="1"/>
  <c r="B668" i="1"/>
  <c r="D667" i="1"/>
  <c r="B667" i="1"/>
  <c r="D666" i="1"/>
  <c r="B666" i="1"/>
  <c r="D665" i="1"/>
  <c r="B665" i="1"/>
  <c r="D664" i="1"/>
  <c r="B664" i="1"/>
  <c r="D663" i="1"/>
  <c r="B663" i="1"/>
  <c r="D662" i="1"/>
  <c r="B662" i="1"/>
  <c r="D661" i="1"/>
  <c r="B661" i="1"/>
  <c r="D660" i="1"/>
  <c r="B660" i="1"/>
  <c r="D659" i="1"/>
  <c r="B659" i="1"/>
  <c r="D658" i="1"/>
  <c r="B658" i="1"/>
  <c r="D657" i="1"/>
  <c r="B657" i="1"/>
  <c r="D656" i="1"/>
  <c r="B656" i="1"/>
  <c r="D655" i="1"/>
  <c r="B655" i="1"/>
  <c r="D654" i="1"/>
  <c r="B654" i="1"/>
  <c r="D653" i="1"/>
  <c r="B653" i="1"/>
  <c r="D652" i="1"/>
  <c r="B652" i="1"/>
  <c r="D651" i="1"/>
  <c r="B651" i="1"/>
  <c r="D650" i="1"/>
  <c r="B650" i="1"/>
  <c r="D649" i="1"/>
  <c r="B649" i="1"/>
  <c r="D648" i="1"/>
  <c r="B648" i="1"/>
  <c r="D647" i="1"/>
  <c r="B647" i="1"/>
  <c r="D646" i="1"/>
  <c r="B646" i="1"/>
  <c r="D645" i="1"/>
  <c r="B645" i="1"/>
  <c r="D644" i="1"/>
  <c r="B644" i="1"/>
  <c r="D643" i="1"/>
  <c r="B643" i="1"/>
  <c r="D642" i="1"/>
  <c r="B642" i="1"/>
  <c r="D641" i="1"/>
  <c r="B641" i="1"/>
  <c r="D640" i="1"/>
  <c r="B640" i="1"/>
  <c r="D639" i="1"/>
  <c r="B639" i="1"/>
  <c r="D638" i="1"/>
  <c r="B638" i="1"/>
  <c r="D637" i="1"/>
  <c r="B637" i="1"/>
  <c r="D636" i="1"/>
  <c r="B636" i="1"/>
  <c r="D635" i="1"/>
  <c r="B635" i="1"/>
  <c r="D634" i="1"/>
  <c r="B634" i="1"/>
  <c r="D633" i="1"/>
  <c r="B633" i="1"/>
  <c r="D632" i="1"/>
  <c r="B632" i="1"/>
  <c r="E631" i="1"/>
  <c r="D631" i="1"/>
  <c r="B631" i="1"/>
  <c r="D627" i="1"/>
  <c r="B627" i="1"/>
  <c r="D626" i="1"/>
  <c r="B626" i="1"/>
  <c r="D625" i="1"/>
  <c r="B625" i="1"/>
  <c r="D624" i="1"/>
  <c r="B624" i="1"/>
  <c r="D623" i="1"/>
  <c r="B623" i="1"/>
  <c r="D622" i="1"/>
  <c r="B622" i="1"/>
  <c r="D621" i="1"/>
  <c r="B621" i="1"/>
  <c r="D620" i="1"/>
  <c r="B620" i="1"/>
  <c r="D619" i="1"/>
  <c r="B619" i="1"/>
  <c r="D618" i="1"/>
  <c r="B618" i="1"/>
  <c r="D617" i="1"/>
  <c r="B617" i="1"/>
  <c r="D616" i="1"/>
  <c r="B616" i="1"/>
  <c r="D615" i="1"/>
  <c r="B615" i="1"/>
  <c r="D614" i="1"/>
  <c r="B614" i="1"/>
  <c r="D613" i="1"/>
  <c r="B613" i="1"/>
  <c r="D612" i="1"/>
  <c r="B612" i="1"/>
  <c r="D611" i="1"/>
  <c r="B611" i="1"/>
  <c r="D610" i="1"/>
  <c r="B610" i="1"/>
  <c r="D609" i="1"/>
  <c r="B609" i="1"/>
  <c r="D608" i="1"/>
  <c r="B608" i="1"/>
  <c r="D607" i="1"/>
  <c r="B607" i="1"/>
  <c r="D606" i="1"/>
  <c r="B606" i="1"/>
  <c r="D605" i="1"/>
  <c r="B605" i="1"/>
  <c r="D604" i="1"/>
  <c r="B604" i="1"/>
  <c r="D603" i="1"/>
  <c r="B603" i="1"/>
  <c r="D602" i="1"/>
  <c r="B602" i="1"/>
  <c r="D601" i="1"/>
  <c r="B601" i="1"/>
  <c r="D600" i="1"/>
  <c r="B600" i="1"/>
  <c r="D599" i="1"/>
  <c r="B599" i="1"/>
  <c r="D598" i="1"/>
  <c r="B598" i="1"/>
  <c r="D597" i="1"/>
  <c r="B597" i="1"/>
  <c r="D596" i="1"/>
  <c r="B596" i="1"/>
  <c r="D595" i="1"/>
  <c r="B595" i="1"/>
  <c r="D594" i="1"/>
  <c r="B594" i="1"/>
  <c r="D593" i="1"/>
  <c r="B593" i="1"/>
  <c r="D592" i="1"/>
  <c r="B592" i="1"/>
  <c r="D591" i="1"/>
  <c r="B591" i="1"/>
  <c r="D590" i="1"/>
  <c r="B590" i="1"/>
  <c r="D589" i="1"/>
  <c r="B589" i="1"/>
  <c r="D588" i="1"/>
  <c r="B588" i="1"/>
  <c r="D587" i="1"/>
  <c r="B587" i="1"/>
  <c r="D586" i="1"/>
  <c r="B586" i="1"/>
  <c r="D585" i="1"/>
  <c r="B585" i="1"/>
  <c r="D584" i="1"/>
  <c r="B584" i="1"/>
  <c r="D583" i="1"/>
  <c r="B583" i="1"/>
  <c r="D582" i="1"/>
  <c r="B582" i="1"/>
  <c r="D581" i="1"/>
  <c r="B581" i="1"/>
  <c r="D580" i="1"/>
  <c r="B580" i="1"/>
  <c r="D579" i="1"/>
  <c r="B579" i="1"/>
  <c r="D578" i="1"/>
  <c r="B578" i="1"/>
  <c r="D577" i="1"/>
  <c r="B577" i="1"/>
  <c r="D576" i="1"/>
  <c r="B576" i="1"/>
  <c r="D575" i="1"/>
  <c r="B575" i="1"/>
  <c r="D574" i="1"/>
  <c r="B574" i="1"/>
  <c r="D573" i="1"/>
  <c r="B573" i="1"/>
  <c r="D572" i="1"/>
  <c r="B572" i="1"/>
  <c r="D571" i="1"/>
  <c r="B571" i="1"/>
  <c r="D570" i="1"/>
  <c r="B570" i="1"/>
  <c r="D569" i="1"/>
  <c r="B569" i="1"/>
  <c r="D568" i="1"/>
  <c r="B568" i="1"/>
  <c r="D567" i="1"/>
  <c r="B567" i="1"/>
  <c r="D566" i="1"/>
  <c r="B566" i="1"/>
  <c r="D565" i="1"/>
  <c r="B565" i="1"/>
  <c r="D564" i="1"/>
  <c r="B564" i="1"/>
  <c r="D563" i="1"/>
  <c r="B563" i="1"/>
  <c r="D562" i="1"/>
  <c r="B562" i="1"/>
  <c r="D561" i="1"/>
  <c r="B561" i="1"/>
  <c r="D560" i="1"/>
  <c r="B560" i="1"/>
  <c r="D559" i="1"/>
  <c r="B559" i="1"/>
  <c r="D558" i="1"/>
  <c r="B558" i="1"/>
  <c r="D557" i="1"/>
  <c r="B557" i="1"/>
  <c r="D556" i="1"/>
  <c r="B556" i="1"/>
  <c r="E555" i="1"/>
  <c r="D555" i="1"/>
  <c r="B555" i="1"/>
  <c r="D551" i="1"/>
  <c r="B551" i="1"/>
  <c r="D550" i="1"/>
  <c r="B550" i="1"/>
  <c r="D549" i="1"/>
  <c r="B549" i="1"/>
  <c r="D548" i="1"/>
  <c r="B548" i="1"/>
  <c r="D547" i="1"/>
  <c r="B547" i="1"/>
  <c r="D546" i="1"/>
  <c r="B546" i="1"/>
  <c r="D545" i="1"/>
  <c r="B545" i="1"/>
  <c r="D544" i="1"/>
  <c r="B544" i="1"/>
  <c r="D543" i="1"/>
  <c r="B543" i="1"/>
  <c r="D542" i="1"/>
  <c r="B542" i="1"/>
  <c r="D541" i="1"/>
  <c r="B541" i="1"/>
  <c r="D540" i="1"/>
  <c r="B540" i="1"/>
  <c r="D539" i="1"/>
  <c r="B539" i="1"/>
  <c r="D538" i="1"/>
  <c r="B538" i="1"/>
  <c r="D537" i="1"/>
  <c r="B537" i="1"/>
  <c r="D536" i="1"/>
  <c r="B536" i="1"/>
  <c r="D535" i="1"/>
  <c r="B535" i="1"/>
  <c r="D534" i="1"/>
  <c r="B534" i="1"/>
  <c r="D533" i="1"/>
  <c r="B533" i="1"/>
  <c r="D532" i="1"/>
  <c r="B532" i="1"/>
  <c r="D531" i="1"/>
  <c r="B531" i="1"/>
  <c r="D530" i="1"/>
  <c r="B530" i="1"/>
  <c r="D529" i="1"/>
  <c r="B529" i="1"/>
  <c r="D528" i="1"/>
  <c r="B528" i="1"/>
  <c r="D527" i="1"/>
  <c r="B527" i="1"/>
  <c r="D526" i="1"/>
  <c r="B526" i="1"/>
  <c r="D525" i="1"/>
  <c r="B525" i="1"/>
  <c r="D524" i="1"/>
  <c r="B524" i="1"/>
  <c r="D523" i="1"/>
  <c r="B523" i="1"/>
  <c r="D522" i="1"/>
  <c r="B522" i="1"/>
  <c r="D521" i="1"/>
  <c r="B521" i="1"/>
  <c r="D520" i="1"/>
  <c r="B520" i="1"/>
  <c r="D519" i="1"/>
  <c r="B519" i="1"/>
  <c r="D518" i="1"/>
  <c r="B518" i="1"/>
  <c r="D517" i="1"/>
  <c r="B517" i="1"/>
  <c r="D516" i="1"/>
  <c r="B516" i="1"/>
  <c r="D515" i="1"/>
  <c r="B515" i="1"/>
  <c r="D514" i="1"/>
  <c r="B514" i="1"/>
  <c r="D513" i="1"/>
  <c r="B513" i="1"/>
  <c r="D512" i="1"/>
  <c r="B512" i="1"/>
  <c r="D511" i="1"/>
  <c r="B511" i="1"/>
  <c r="D510" i="1"/>
  <c r="B510" i="1"/>
  <c r="D509" i="1"/>
  <c r="B509" i="1"/>
  <c r="D508" i="1"/>
  <c r="B508" i="1"/>
  <c r="D507" i="1"/>
  <c r="B507" i="1"/>
  <c r="D506" i="1"/>
  <c r="B506" i="1"/>
  <c r="D505" i="1"/>
  <c r="B505" i="1"/>
  <c r="D504" i="1"/>
  <c r="B504" i="1"/>
  <c r="D503" i="1"/>
  <c r="B503" i="1"/>
  <c r="D502" i="1"/>
  <c r="B502" i="1"/>
  <c r="D501" i="1"/>
  <c r="B501" i="1"/>
  <c r="D500" i="1"/>
  <c r="B500" i="1"/>
  <c r="D499" i="1"/>
  <c r="B499" i="1"/>
  <c r="D498" i="1"/>
  <c r="B498" i="1"/>
  <c r="D497" i="1"/>
  <c r="B497" i="1"/>
  <c r="D496" i="1"/>
  <c r="B496" i="1"/>
  <c r="D495" i="1"/>
  <c r="B495" i="1"/>
  <c r="D494" i="1"/>
  <c r="B494" i="1"/>
  <c r="D493" i="1"/>
  <c r="B493" i="1"/>
  <c r="D492" i="1"/>
  <c r="B492" i="1"/>
  <c r="D491" i="1"/>
  <c r="B491" i="1"/>
  <c r="D490" i="1"/>
  <c r="B490" i="1"/>
  <c r="D489" i="1"/>
  <c r="B489" i="1"/>
  <c r="D488" i="1"/>
  <c r="B488" i="1"/>
  <c r="D487" i="1"/>
  <c r="B487" i="1"/>
  <c r="D486" i="1"/>
  <c r="B486" i="1"/>
  <c r="D485" i="1"/>
  <c r="B485" i="1"/>
  <c r="D484" i="1"/>
  <c r="B484" i="1"/>
  <c r="D483" i="1"/>
  <c r="B483" i="1"/>
  <c r="D482" i="1"/>
  <c r="B482" i="1"/>
  <c r="D481" i="1"/>
  <c r="B481" i="1"/>
  <c r="D480" i="1"/>
  <c r="B480" i="1"/>
  <c r="E479" i="1"/>
  <c r="D479" i="1"/>
  <c r="B479" i="1"/>
  <c r="D475" i="1"/>
  <c r="B475" i="1"/>
  <c r="D474" i="1"/>
  <c r="B474" i="1"/>
  <c r="D473" i="1"/>
  <c r="B473" i="1"/>
  <c r="D472" i="1"/>
  <c r="B472" i="1"/>
  <c r="D471" i="1"/>
  <c r="B471" i="1"/>
  <c r="D470" i="1"/>
  <c r="B470" i="1"/>
  <c r="D469" i="1"/>
  <c r="B469" i="1"/>
  <c r="D468" i="1"/>
  <c r="B468" i="1"/>
  <c r="D467" i="1"/>
  <c r="B467" i="1"/>
  <c r="D466" i="1"/>
  <c r="B466" i="1"/>
  <c r="D465" i="1"/>
  <c r="B465" i="1"/>
  <c r="D464" i="1"/>
  <c r="B464" i="1"/>
  <c r="D463" i="1"/>
  <c r="B463" i="1"/>
  <c r="D462" i="1"/>
  <c r="B462" i="1"/>
  <c r="D461" i="1"/>
  <c r="B461" i="1"/>
  <c r="D460" i="1"/>
  <c r="B460" i="1"/>
  <c r="D459" i="1"/>
  <c r="B459" i="1"/>
  <c r="D458" i="1"/>
  <c r="B458" i="1"/>
  <c r="D457" i="1"/>
  <c r="B457" i="1"/>
  <c r="D456" i="1"/>
  <c r="B456" i="1"/>
  <c r="D455" i="1"/>
  <c r="B455" i="1"/>
  <c r="D454" i="1"/>
  <c r="B454" i="1"/>
  <c r="D453" i="1"/>
  <c r="B453" i="1"/>
  <c r="D452" i="1"/>
  <c r="B452" i="1"/>
  <c r="D451" i="1"/>
  <c r="B451" i="1"/>
  <c r="D450" i="1"/>
  <c r="B450" i="1"/>
  <c r="D449" i="1"/>
  <c r="B449" i="1"/>
  <c r="D448" i="1"/>
  <c r="B448" i="1"/>
  <c r="D447" i="1"/>
  <c r="B447" i="1"/>
  <c r="D446" i="1"/>
  <c r="B446" i="1"/>
  <c r="D445" i="1"/>
  <c r="B445" i="1"/>
  <c r="D444" i="1"/>
  <c r="B444" i="1"/>
  <c r="D443" i="1"/>
  <c r="B443" i="1"/>
  <c r="D442" i="1"/>
  <c r="B442" i="1"/>
  <c r="D441" i="1"/>
  <c r="B441" i="1"/>
  <c r="D440" i="1"/>
  <c r="B440" i="1"/>
  <c r="D439" i="1"/>
  <c r="B439" i="1"/>
  <c r="D438" i="1"/>
  <c r="B438" i="1"/>
  <c r="D437" i="1"/>
  <c r="B437" i="1"/>
  <c r="D436" i="1"/>
  <c r="B436" i="1"/>
  <c r="D435" i="1"/>
  <c r="B435" i="1"/>
  <c r="D434" i="1"/>
  <c r="B434" i="1"/>
  <c r="D433" i="1"/>
  <c r="B433" i="1"/>
  <c r="D432" i="1"/>
  <c r="B432" i="1"/>
  <c r="D431" i="1"/>
  <c r="B431" i="1"/>
  <c r="D430" i="1"/>
  <c r="B430" i="1"/>
  <c r="D429" i="1"/>
  <c r="B429" i="1"/>
  <c r="D428" i="1"/>
  <c r="B428" i="1"/>
  <c r="D427" i="1"/>
  <c r="B427" i="1"/>
  <c r="D426" i="1"/>
  <c r="B426" i="1"/>
  <c r="D425" i="1"/>
  <c r="B425" i="1"/>
  <c r="D424" i="1"/>
  <c r="B424" i="1"/>
  <c r="D423" i="1"/>
  <c r="B423" i="1"/>
  <c r="D422" i="1"/>
  <c r="B422" i="1"/>
  <c r="D421" i="1"/>
  <c r="B421" i="1"/>
  <c r="D420" i="1"/>
  <c r="B420" i="1"/>
  <c r="D419" i="1"/>
  <c r="B419" i="1"/>
  <c r="D418" i="1"/>
  <c r="B418" i="1"/>
  <c r="D417" i="1"/>
  <c r="B417" i="1"/>
  <c r="D416" i="1"/>
  <c r="B416" i="1"/>
  <c r="D415" i="1"/>
  <c r="B415" i="1"/>
  <c r="D414" i="1"/>
  <c r="B414" i="1"/>
  <c r="D413" i="1"/>
  <c r="B413" i="1"/>
  <c r="D412" i="1"/>
  <c r="B412" i="1"/>
  <c r="D411" i="1"/>
  <c r="B411" i="1"/>
  <c r="D410" i="1"/>
  <c r="B410" i="1"/>
  <c r="D409" i="1"/>
  <c r="B409" i="1"/>
  <c r="D408" i="1"/>
  <c r="B408" i="1"/>
  <c r="D407" i="1"/>
  <c r="B407" i="1"/>
  <c r="D406" i="1"/>
  <c r="B406" i="1"/>
  <c r="D405" i="1"/>
  <c r="B405" i="1"/>
  <c r="D404" i="1"/>
  <c r="B404" i="1"/>
  <c r="E403" i="1"/>
  <c r="D403" i="1"/>
  <c r="B403" i="1"/>
  <c r="D399" i="1"/>
  <c r="B399" i="1"/>
  <c r="D398" i="1"/>
  <c r="B398" i="1"/>
  <c r="D397" i="1"/>
  <c r="B397" i="1"/>
  <c r="D396" i="1"/>
  <c r="B396" i="1"/>
  <c r="D395" i="1"/>
  <c r="B395" i="1"/>
  <c r="D394" i="1"/>
  <c r="B394" i="1"/>
  <c r="D393" i="1"/>
  <c r="B393" i="1"/>
  <c r="D392" i="1"/>
  <c r="B392" i="1"/>
  <c r="D391" i="1"/>
  <c r="B391" i="1"/>
  <c r="D390" i="1"/>
  <c r="B390" i="1"/>
  <c r="D389" i="1"/>
  <c r="B389" i="1"/>
  <c r="D388" i="1"/>
  <c r="B388" i="1"/>
  <c r="D387" i="1"/>
  <c r="B387" i="1"/>
  <c r="D386" i="1"/>
  <c r="B386" i="1"/>
  <c r="D385" i="1"/>
  <c r="B385" i="1"/>
  <c r="D384" i="1"/>
  <c r="B384" i="1"/>
  <c r="D383" i="1"/>
  <c r="B383" i="1"/>
  <c r="D382" i="1"/>
  <c r="B382" i="1"/>
  <c r="D381" i="1"/>
  <c r="B381" i="1"/>
  <c r="D380" i="1"/>
  <c r="B380" i="1"/>
  <c r="D379" i="1"/>
  <c r="B379" i="1"/>
  <c r="D378" i="1"/>
  <c r="B378" i="1"/>
  <c r="D377" i="1"/>
  <c r="B377" i="1"/>
  <c r="D376" i="1"/>
  <c r="B376" i="1"/>
  <c r="D375" i="1"/>
  <c r="B375" i="1"/>
  <c r="D374" i="1"/>
  <c r="B374" i="1"/>
  <c r="D373" i="1"/>
  <c r="B373" i="1"/>
  <c r="D372" i="1"/>
  <c r="B372" i="1"/>
  <c r="D371" i="1"/>
  <c r="B371" i="1"/>
  <c r="D370" i="1"/>
  <c r="B370" i="1"/>
  <c r="D369" i="1"/>
  <c r="B369" i="1"/>
  <c r="D368" i="1"/>
  <c r="B368" i="1"/>
  <c r="D367" i="1"/>
  <c r="B367" i="1"/>
  <c r="D366" i="1"/>
  <c r="B366" i="1"/>
  <c r="D365" i="1"/>
  <c r="B365" i="1"/>
  <c r="D364" i="1"/>
  <c r="B364" i="1"/>
  <c r="D363" i="1"/>
  <c r="B363" i="1"/>
  <c r="D362" i="1"/>
  <c r="B362" i="1"/>
  <c r="D361" i="1"/>
  <c r="B361" i="1"/>
  <c r="D360" i="1"/>
  <c r="B360" i="1"/>
  <c r="D359" i="1"/>
  <c r="B359" i="1"/>
  <c r="D358" i="1"/>
  <c r="B358" i="1"/>
  <c r="D357" i="1"/>
  <c r="B357" i="1"/>
  <c r="D356" i="1"/>
  <c r="B356" i="1"/>
  <c r="D355" i="1"/>
  <c r="B355" i="1"/>
  <c r="D354" i="1"/>
  <c r="B354" i="1"/>
  <c r="D353" i="1"/>
  <c r="B353" i="1"/>
  <c r="D352" i="1"/>
  <c r="B352" i="1"/>
  <c r="D351" i="1"/>
  <c r="B351" i="1"/>
  <c r="D350" i="1"/>
  <c r="B350" i="1"/>
  <c r="D349" i="1"/>
  <c r="B349" i="1"/>
  <c r="D348" i="1"/>
  <c r="B348" i="1"/>
  <c r="D347" i="1"/>
  <c r="B347" i="1"/>
  <c r="D346" i="1"/>
  <c r="B346" i="1"/>
  <c r="D345" i="1"/>
  <c r="B345" i="1"/>
  <c r="D344" i="1"/>
  <c r="B344" i="1"/>
  <c r="D343" i="1"/>
  <c r="B343" i="1"/>
  <c r="D342" i="1"/>
  <c r="B342" i="1"/>
  <c r="D341" i="1"/>
  <c r="B341" i="1"/>
  <c r="D340" i="1"/>
  <c r="B340" i="1"/>
  <c r="D339" i="1"/>
  <c r="B339" i="1"/>
  <c r="D338" i="1"/>
  <c r="B338" i="1"/>
  <c r="D337" i="1"/>
  <c r="B337" i="1"/>
  <c r="D336" i="1"/>
  <c r="B336" i="1"/>
  <c r="D335" i="1"/>
  <c r="B335" i="1"/>
  <c r="D334" i="1"/>
  <c r="B334" i="1"/>
  <c r="D333" i="1"/>
  <c r="B333" i="1"/>
  <c r="D332" i="1"/>
  <c r="B332" i="1"/>
  <c r="D331" i="1"/>
  <c r="B331" i="1"/>
  <c r="D330" i="1"/>
  <c r="B330" i="1"/>
  <c r="D329" i="1"/>
  <c r="B329" i="1"/>
  <c r="D328" i="1"/>
  <c r="B328" i="1"/>
  <c r="E327" i="1"/>
  <c r="D327" i="1"/>
  <c r="B327" i="1"/>
  <c r="D323" i="1"/>
  <c r="B323" i="1"/>
  <c r="D322" i="1"/>
  <c r="B322" i="1"/>
  <c r="D321" i="1"/>
  <c r="B321" i="1"/>
  <c r="D320" i="1"/>
  <c r="B320" i="1"/>
  <c r="D319" i="1"/>
  <c r="B319" i="1"/>
  <c r="D318" i="1"/>
  <c r="B318" i="1"/>
  <c r="D317" i="1"/>
  <c r="B317" i="1"/>
  <c r="D316" i="1"/>
  <c r="B316" i="1"/>
  <c r="D315" i="1"/>
  <c r="B315" i="1"/>
  <c r="D314" i="1"/>
  <c r="B314" i="1"/>
  <c r="D313" i="1"/>
  <c r="B313" i="1"/>
  <c r="D312" i="1"/>
  <c r="B312" i="1"/>
  <c r="D311" i="1"/>
  <c r="B311" i="1"/>
  <c r="D310" i="1"/>
  <c r="B310" i="1"/>
  <c r="D309" i="1"/>
  <c r="B309" i="1"/>
  <c r="D308" i="1"/>
  <c r="B308" i="1"/>
  <c r="D307" i="1"/>
  <c r="B307" i="1"/>
  <c r="D306" i="1"/>
  <c r="B306" i="1"/>
  <c r="D305" i="1"/>
  <c r="B305" i="1"/>
  <c r="D304" i="1"/>
  <c r="B304" i="1"/>
  <c r="D303" i="1"/>
  <c r="B303" i="1"/>
  <c r="D302" i="1"/>
  <c r="B302" i="1"/>
  <c r="D301" i="1"/>
  <c r="B301" i="1"/>
  <c r="D300" i="1"/>
  <c r="B300" i="1"/>
  <c r="D299" i="1"/>
  <c r="B299" i="1"/>
  <c r="D298" i="1"/>
  <c r="B298" i="1"/>
  <c r="D297" i="1"/>
  <c r="B297" i="1"/>
  <c r="D296" i="1"/>
  <c r="B296" i="1"/>
  <c r="D295" i="1"/>
  <c r="B295" i="1"/>
  <c r="D294" i="1"/>
  <c r="B294" i="1"/>
  <c r="D293" i="1"/>
  <c r="B293" i="1"/>
  <c r="D292" i="1"/>
  <c r="B292" i="1"/>
  <c r="D291" i="1"/>
  <c r="B291" i="1"/>
  <c r="D290" i="1"/>
  <c r="B290" i="1"/>
  <c r="D289" i="1"/>
  <c r="B289" i="1"/>
  <c r="D288" i="1"/>
  <c r="B288" i="1"/>
  <c r="D287" i="1"/>
  <c r="B287" i="1"/>
  <c r="D286" i="1"/>
  <c r="B286" i="1"/>
  <c r="D285" i="1"/>
  <c r="B285" i="1"/>
  <c r="D284" i="1"/>
  <c r="B284" i="1"/>
  <c r="D283" i="1"/>
  <c r="B283" i="1"/>
  <c r="D282" i="1"/>
  <c r="B282" i="1"/>
  <c r="D281" i="1"/>
  <c r="B281" i="1"/>
  <c r="D280" i="1"/>
  <c r="B280" i="1"/>
  <c r="D279" i="1"/>
  <c r="B279" i="1"/>
  <c r="D278" i="1"/>
  <c r="B278" i="1"/>
  <c r="D277" i="1"/>
  <c r="B277" i="1"/>
  <c r="D276" i="1"/>
  <c r="B276" i="1"/>
  <c r="D275" i="1"/>
  <c r="B275" i="1"/>
  <c r="D274" i="1"/>
  <c r="B274" i="1"/>
  <c r="D273" i="1"/>
  <c r="B273" i="1"/>
  <c r="D272" i="1"/>
  <c r="B272" i="1"/>
  <c r="D271" i="1"/>
  <c r="B271" i="1"/>
  <c r="D270" i="1"/>
  <c r="B270" i="1"/>
  <c r="D269" i="1"/>
  <c r="B269" i="1"/>
  <c r="D268" i="1"/>
  <c r="B268" i="1"/>
  <c r="D267" i="1"/>
  <c r="B267" i="1"/>
  <c r="D266" i="1"/>
  <c r="B266" i="1"/>
  <c r="D265" i="1"/>
  <c r="B265" i="1"/>
  <c r="D264" i="1"/>
  <c r="B264" i="1"/>
  <c r="D263" i="1"/>
  <c r="B263" i="1"/>
  <c r="D262" i="1"/>
  <c r="B262" i="1"/>
  <c r="D261" i="1"/>
  <c r="B261" i="1"/>
  <c r="D260" i="1"/>
  <c r="B260" i="1"/>
  <c r="D259" i="1"/>
  <c r="B259" i="1"/>
  <c r="D258" i="1"/>
  <c r="B258" i="1"/>
  <c r="D257" i="1"/>
  <c r="B257" i="1"/>
  <c r="D256" i="1"/>
  <c r="B256" i="1"/>
  <c r="D255" i="1"/>
  <c r="B255" i="1"/>
  <c r="D254" i="1"/>
  <c r="B254" i="1"/>
  <c r="D253" i="1"/>
  <c r="B253" i="1"/>
  <c r="D252" i="1"/>
  <c r="B252" i="1"/>
  <c r="E251" i="1"/>
  <c r="D251" i="1"/>
  <c r="B251" i="1"/>
  <c r="D247" i="1"/>
  <c r="B247" i="1"/>
  <c r="D246" i="1"/>
  <c r="B246" i="1"/>
  <c r="D245" i="1"/>
  <c r="B245" i="1"/>
  <c r="D244" i="1"/>
  <c r="B244" i="1"/>
  <c r="D243" i="1"/>
  <c r="B243" i="1"/>
  <c r="D242" i="1"/>
  <c r="B242" i="1"/>
  <c r="D241" i="1"/>
  <c r="B241" i="1"/>
  <c r="D240" i="1"/>
  <c r="B240" i="1"/>
  <c r="D239" i="1"/>
  <c r="B239" i="1"/>
  <c r="D238" i="1"/>
  <c r="B238" i="1"/>
  <c r="D237" i="1"/>
  <c r="B237" i="1"/>
  <c r="D236" i="1"/>
  <c r="B236" i="1"/>
  <c r="D235" i="1"/>
  <c r="B235" i="1"/>
  <c r="D234" i="1"/>
  <c r="B234" i="1"/>
  <c r="D233" i="1"/>
  <c r="B233" i="1"/>
  <c r="D232" i="1"/>
  <c r="B232" i="1"/>
  <c r="D231" i="1"/>
  <c r="B231" i="1"/>
  <c r="D230" i="1"/>
  <c r="B230" i="1"/>
  <c r="D229" i="1"/>
  <c r="B229" i="1"/>
  <c r="D228" i="1"/>
  <c r="B228" i="1"/>
  <c r="D227" i="1"/>
  <c r="B227" i="1"/>
  <c r="D226" i="1"/>
  <c r="B226" i="1"/>
  <c r="D225" i="1"/>
  <c r="B225" i="1"/>
  <c r="D224" i="1"/>
  <c r="B224" i="1"/>
  <c r="D223" i="1"/>
  <c r="B223" i="1"/>
  <c r="D222" i="1"/>
  <c r="B222" i="1"/>
  <c r="D221" i="1"/>
  <c r="B221" i="1"/>
  <c r="D220" i="1"/>
  <c r="B220" i="1"/>
  <c r="D219" i="1"/>
  <c r="B219" i="1"/>
  <c r="D218" i="1"/>
  <c r="B218" i="1"/>
  <c r="D217" i="1"/>
  <c r="B217" i="1"/>
  <c r="D216" i="1"/>
  <c r="B216" i="1"/>
  <c r="D215" i="1"/>
  <c r="B215" i="1"/>
  <c r="D214" i="1"/>
  <c r="B214" i="1"/>
  <c r="D213" i="1"/>
  <c r="B213" i="1"/>
  <c r="D212" i="1"/>
  <c r="B212" i="1"/>
  <c r="D211" i="1"/>
  <c r="B211" i="1"/>
  <c r="D210" i="1"/>
  <c r="B210" i="1"/>
  <c r="D209" i="1"/>
  <c r="B209" i="1"/>
  <c r="D208" i="1"/>
  <c r="B208" i="1"/>
  <c r="D207" i="1"/>
  <c r="B207" i="1"/>
  <c r="D206" i="1"/>
  <c r="B206" i="1"/>
  <c r="D205" i="1"/>
  <c r="B205" i="1"/>
  <c r="D204" i="1"/>
  <c r="B204" i="1"/>
  <c r="D203" i="1"/>
  <c r="B203" i="1"/>
  <c r="D202" i="1"/>
  <c r="B202" i="1"/>
  <c r="D201" i="1"/>
  <c r="B201" i="1"/>
  <c r="D200" i="1"/>
  <c r="B200" i="1"/>
  <c r="D199" i="1"/>
  <c r="B199" i="1"/>
  <c r="D198" i="1"/>
  <c r="B198" i="1"/>
  <c r="D197" i="1"/>
  <c r="B197" i="1"/>
  <c r="D196" i="1"/>
  <c r="B196" i="1"/>
  <c r="D195" i="1"/>
  <c r="B195" i="1"/>
  <c r="D194" i="1"/>
  <c r="B194" i="1"/>
  <c r="D193" i="1"/>
  <c r="B193" i="1"/>
  <c r="D192" i="1"/>
  <c r="B192" i="1"/>
  <c r="D191" i="1"/>
  <c r="B191" i="1"/>
  <c r="D190" i="1"/>
  <c r="B190" i="1"/>
  <c r="D189" i="1"/>
  <c r="B189" i="1"/>
  <c r="D188" i="1"/>
  <c r="B188" i="1"/>
  <c r="D187" i="1"/>
  <c r="B187" i="1"/>
  <c r="D186" i="1"/>
  <c r="B186" i="1"/>
  <c r="D185" i="1"/>
  <c r="B185" i="1"/>
  <c r="D184" i="1"/>
  <c r="B184" i="1"/>
  <c r="D183" i="1"/>
  <c r="B183" i="1"/>
  <c r="D182" i="1"/>
  <c r="B182" i="1"/>
  <c r="D181" i="1"/>
  <c r="B181" i="1"/>
  <c r="D180" i="1"/>
  <c r="B180" i="1"/>
  <c r="D179" i="1"/>
  <c r="B179" i="1"/>
  <c r="D178" i="1"/>
  <c r="B178" i="1"/>
  <c r="D177" i="1"/>
  <c r="B177" i="1"/>
  <c r="D176" i="1"/>
  <c r="B176" i="1"/>
  <c r="E175" i="1"/>
  <c r="D175" i="1"/>
  <c r="B175" i="1"/>
  <c r="D171" i="1"/>
  <c r="B171" i="1"/>
  <c r="D170" i="1"/>
  <c r="B170" i="1"/>
  <c r="D169" i="1"/>
  <c r="B169" i="1"/>
  <c r="D168" i="1"/>
  <c r="B168" i="1"/>
  <c r="D167" i="1"/>
  <c r="B167" i="1"/>
  <c r="D166" i="1"/>
  <c r="B166" i="1"/>
  <c r="D165" i="1"/>
  <c r="B165" i="1"/>
  <c r="D164" i="1"/>
  <c r="B164" i="1"/>
  <c r="D163" i="1"/>
  <c r="B163" i="1"/>
  <c r="D162" i="1"/>
  <c r="B162" i="1"/>
  <c r="D161" i="1"/>
  <c r="B161" i="1"/>
  <c r="D160" i="1"/>
  <c r="B160" i="1"/>
  <c r="D159" i="1"/>
  <c r="B159" i="1"/>
  <c r="D158" i="1"/>
  <c r="B158" i="1"/>
  <c r="D157" i="1"/>
  <c r="B157" i="1"/>
  <c r="D156" i="1"/>
  <c r="B156" i="1"/>
  <c r="D155" i="1"/>
  <c r="B155" i="1"/>
  <c r="D154" i="1"/>
  <c r="B154" i="1"/>
  <c r="D153" i="1"/>
  <c r="B153" i="1"/>
  <c r="D152" i="1"/>
  <c r="B152" i="1"/>
  <c r="D151" i="1"/>
  <c r="B151" i="1"/>
  <c r="D150" i="1"/>
  <c r="B150" i="1"/>
  <c r="D149" i="1"/>
  <c r="B149" i="1"/>
  <c r="D148" i="1"/>
  <c r="B148" i="1"/>
  <c r="D147" i="1"/>
  <c r="B147" i="1"/>
  <c r="D146" i="1"/>
  <c r="B146" i="1"/>
  <c r="D145" i="1"/>
  <c r="B145" i="1"/>
  <c r="D144" i="1"/>
  <c r="B144" i="1"/>
  <c r="D143" i="1"/>
  <c r="B143" i="1"/>
  <c r="D142" i="1"/>
  <c r="B142" i="1"/>
  <c r="D141" i="1"/>
  <c r="B141" i="1"/>
  <c r="D140" i="1"/>
  <c r="B140" i="1"/>
  <c r="D139" i="1"/>
  <c r="B139" i="1"/>
  <c r="D138" i="1"/>
  <c r="B138" i="1"/>
  <c r="D137" i="1"/>
  <c r="B137" i="1"/>
  <c r="D136" i="1"/>
  <c r="B136" i="1"/>
  <c r="D135" i="1"/>
  <c r="B135" i="1"/>
  <c r="D134" i="1"/>
  <c r="B134" i="1"/>
  <c r="D133" i="1"/>
  <c r="B133" i="1"/>
  <c r="D132" i="1"/>
  <c r="B132" i="1"/>
  <c r="D131" i="1"/>
  <c r="B131" i="1"/>
  <c r="D130" i="1"/>
  <c r="B130" i="1"/>
  <c r="D129" i="1"/>
  <c r="B129" i="1"/>
  <c r="D128" i="1"/>
  <c r="B128" i="1"/>
  <c r="D127" i="1"/>
  <c r="B127" i="1"/>
  <c r="D126" i="1"/>
  <c r="B126" i="1"/>
  <c r="D125" i="1"/>
  <c r="B125" i="1"/>
  <c r="D124" i="1"/>
  <c r="B124" i="1"/>
  <c r="D123" i="1"/>
  <c r="B123" i="1"/>
  <c r="D122" i="1"/>
  <c r="B122" i="1"/>
  <c r="D121" i="1"/>
  <c r="B121" i="1"/>
  <c r="D120" i="1"/>
  <c r="B120" i="1"/>
  <c r="D119" i="1"/>
  <c r="B119" i="1"/>
  <c r="D118" i="1"/>
  <c r="B118" i="1"/>
  <c r="D117" i="1"/>
  <c r="B117" i="1"/>
  <c r="D116" i="1"/>
  <c r="B116" i="1"/>
  <c r="D115" i="1"/>
  <c r="B115" i="1"/>
  <c r="D114" i="1"/>
  <c r="B114" i="1"/>
  <c r="D113" i="1"/>
  <c r="B113" i="1"/>
  <c r="D112" i="1"/>
  <c r="B112" i="1"/>
  <c r="D111" i="1"/>
  <c r="B111" i="1"/>
  <c r="D110" i="1"/>
  <c r="B110" i="1"/>
  <c r="D109" i="1"/>
  <c r="B109" i="1"/>
  <c r="D108" i="1"/>
  <c r="B108" i="1"/>
  <c r="D107" i="1"/>
  <c r="B107" i="1"/>
  <c r="D106" i="1"/>
  <c r="B106" i="1"/>
  <c r="D105" i="1"/>
  <c r="B105" i="1"/>
  <c r="D104" i="1"/>
  <c r="B104" i="1"/>
  <c r="D103" i="1"/>
  <c r="B103" i="1"/>
  <c r="D102" i="1"/>
  <c r="B102" i="1"/>
  <c r="D101" i="1"/>
  <c r="B101" i="1"/>
  <c r="D100" i="1"/>
  <c r="B100" i="1"/>
  <c r="E99" i="1"/>
  <c r="D99" i="1"/>
  <c r="B99" i="1"/>
  <c r="D95" i="1"/>
  <c r="B95" i="1"/>
  <c r="D94" i="1"/>
  <c r="B94" i="1"/>
  <c r="D93" i="1"/>
  <c r="B93" i="1"/>
  <c r="D92" i="1"/>
  <c r="B92" i="1"/>
  <c r="D91" i="1"/>
  <c r="B91" i="1"/>
  <c r="D90" i="1"/>
  <c r="B90" i="1"/>
  <c r="D89" i="1"/>
  <c r="B89" i="1"/>
  <c r="D88" i="1"/>
  <c r="B88" i="1"/>
  <c r="D87" i="1"/>
  <c r="B87" i="1"/>
  <c r="D86" i="1"/>
  <c r="B86" i="1"/>
  <c r="D85" i="1"/>
  <c r="B85" i="1"/>
  <c r="D84" i="1"/>
  <c r="B84" i="1"/>
  <c r="D83" i="1"/>
  <c r="B83" i="1"/>
  <c r="D82" i="1"/>
  <c r="B82" i="1"/>
  <c r="D81" i="1"/>
  <c r="B81" i="1"/>
  <c r="D80" i="1"/>
  <c r="B80" i="1"/>
  <c r="D79" i="1"/>
  <c r="B79" i="1"/>
  <c r="D78" i="1"/>
  <c r="B78" i="1"/>
  <c r="D77" i="1"/>
  <c r="B77" i="1"/>
  <c r="D76" i="1"/>
  <c r="B76" i="1"/>
  <c r="D75" i="1"/>
  <c r="B75" i="1"/>
  <c r="D74" i="1"/>
  <c r="B74" i="1"/>
  <c r="D73" i="1"/>
  <c r="B73" i="1"/>
  <c r="D72" i="1"/>
  <c r="B72" i="1"/>
  <c r="D71" i="1"/>
  <c r="B71" i="1"/>
  <c r="D70" i="1"/>
  <c r="B70" i="1"/>
  <c r="D69" i="1"/>
  <c r="B69" i="1"/>
  <c r="D68" i="1"/>
  <c r="B68" i="1"/>
  <c r="D67" i="1"/>
  <c r="B67" i="1"/>
  <c r="D66" i="1"/>
  <c r="B66" i="1"/>
  <c r="D65" i="1"/>
  <c r="B65" i="1"/>
  <c r="D64" i="1"/>
  <c r="B64" i="1"/>
  <c r="D63" i="1"/>
  <c r="B63" i="1"/>
  <c r="D62" i="1"/>
  <c r="B62" i="1"/>
  <c r="D61" i="1"/>
  <c r="B61" i="1"/>
  <c r="D60" i="1"/>
  <c r="B60" i="1"/>
  <c r="D59" i="1"/>
  <c r="B59" i="1"/>
  <c r="D58" i="1"/>
  <c r="B58" i="1"/>
  <c r="D57" i="1"/>
  <c r="B57" i="1"/>
  <c r="D56" i="1"/>
  <c r="B56" i="1"/>
  <c r="D55" i="1"/>
  <c r="B55" i="1"/>
  <c r="D54" i="1"/>
  <c r="B54" i="1"/>
  <c r="D53" i="1"/>
  <c r="B53" i="1"/>
  <c r="D52" i="1"/>
  <c r="B52" i="1"/>
  <c r="D51" i="1"/>
  <c r="B51" i="1"/>
  <c r="D50" i="1"/>
  <c r="B50" i="1"/>
  <c r="D49" i="1"/>
  <c r="B49" i="1"/>
  <c r="D48" i="1"/>
  <c r="B48" i="1"/>
  <c r="D47" i="1"/>
  <c r="B47" i="1"/>
  <c r="D46" i="1"/>
  <c r="B46" i="1"/>
  <c r="D45" i="1"/>
  <c r="B45" i="1"/>
  <c r="D44" i="1"/>
  <c r="B44" i="1"/>
  <c r="D43" i="1"/>
  <c r="B43" i="1"/>
  <c r="D42" i="1"/>
  <c r="B42" i="1"/>
  <c r="D41" i="1"/>
  <c r="B41" i="1"/>
  <c r="D40" i="1"/>
  <c r="B40" i="1"/>
  <c r="D39" i="1"/>
  <c r="B39" i="1"/>
  <c r="D38" i="1"/>
  <c r="B38" i="1"/>
  <c r="D37" i="1"/>
  <c r="B37" i="1"/>
  <c r="D36" i="1"/>
  <c r="B36" i="1"/>
  <c r="D35" i="1"/>
  <c r="B35" i="1"/>
  <c r="D34" i="1"/>
  <c r="B34" i="1"/>
  <c r="D33" i="1"/>
  <c r="B33" i="1"/>
  <c r="D32" i="1"/>
  <c r="B32" i="1"/>
  <c r="D31" i="1"/>
  <c r="B31" i="1"/>
  <c r="D30" i="1"/>
  <c r="B30" i="1"/>
  <c r="D29" i="1"/>
  <c r="B29" i="1"/>
  <c r="D28" i="1"/>
  <c r="B28" i="1"/>
  <c r="D27" i="1"/>
  <c r="B27" i="1"/>
  <c r="D26" i="1"/>
  <c r="B26" i="1"/>
  <c r="D25" i="1"/>
  <c r="B25" i="1"/>
  <c r="D24" i="1"/>
  <c r="B24" i="1"/>
  <c r="F23" i="1"/>
  <c r="D23" i="1"/>
  <c r="B23" i="1"/>
  <c r="H16" i="1"/>
  <c r="G13" i="1"/>
  <c r="G12" i="1"/>
  <c r="G11" i="1"/>
  <c r="H10" i="1"/>
  <c r="H9" i="1"/>
  <c r="H8" i="1"/>
  <c r="H6" i="1"/>
  <c r="H5" i="1"/>
  <c r="F6" i="3" l="1"/>
  <c r="Q41" i="1"/>
  <c r="P47" i="1"/>
  <c r="P51" i="1"/>
  <c r="Q49" i="1"/>
  <c r="P42" i="1"/>
  <c r="P44" i="1"/>
  <c r="P40" i="1"/>
  <c r="Q50" i="1"/>
  <c r="P43" i="1"/>
  <c r="P46" i="1"/>
  <c r="P39" i="1"/>
  <c r="G555" i="1"/>
  <c r="G175" i="1"/>
  <c r="F175" i="1"/>
  <c r="G251" i="1"/>
  <c r="F99" i="1"/>
  <c r="G631" i="1"/>
  <c r="G327" i="1"/>
  <c r="J479" i="1"/>
  <c r="G859" i="1"/>
  <c r="J935" i="1"/>
  <c r="G783" i="1"/>
  <c r="G9" i="1"/>
  <c r="H11" i="1"/>
  <c r="G707" i="1"/>
  <c r="G935" i="1"/>
  <c r="J707" i="1"/>
  <c r="E23" i="1"/>
  <c r="F251" i="1"/>
  <c r="F327" i="1"/>
  <c r="H14" i="1"/>
  <c r="G10" i="1"/>
  <c r="H13" i="1"/>
  <c r="J631" i="1"/>
  <c r="H12" i="1"/>
  <c r="J555" i="1"/>
  <c r="G8" i="1"/>
  <c r="G7" i="1"/>
  <c r="G16" i="1"/>
  <c r="G6" i="1"/>
  <c r="J859" i="1"/>
  <c r="G15" i="1"/>
  <c r="G5" i="1"/>
  <c r="G479" i="1"/>
  <c r="J783" i="1"/>
  <c r="J403" i="1"/>
  <c r="G403" i="1"/>
  <c r="G23" i="1"/>
  <c r="G99" i="1"/>
  <c r="I403" i="1"/>
  <c r="I479" i="1"/>
  <c r="I555" i="1"/>
  <c r="I631" i="1"/>
  <c r="I707" i="1"/>
  <c r="I783" i="1"/>
  <c r="I859" i="1"/>
  <c r="I935" i="1"/>
  <c r="F403" i="1"/>
  <c r="F479" i="1"/>
  <c r="F555" i="1"/>
  <c r="H555" i="1" s="1"/>
  <c r="F631" i="1"/>
  <c r="F707" i="1"/>
  <c r="F783" i="1"/>
  <c r="F859" i="1"/>
  <c r="F935" i="1"/>
  <c r="F7" i="3" l="1"/>
  <c r="H99" i="1"/>
  <c r="H175" i="1"/>
  <c r="H327" i="1"/>
  <c r="H403" i="1"/>
  <c r="H783" i="1"/>
  <c r="H251" i="1"/>
  <c r="H859" i="1"/>
  <c r="H707" i="1"/>
  <c r="H935" i="1"/>
  <c r="H479" i="1"/>
  <c r="H631" i="1"/>
  <c r="H23" i="1"/>
  <c r="H4" i="1"/>
  <c r="F8" i="3" l="1"/>
  <c r="G4" i="1"/>
  <c r="F9" i="3" l="1"/>
  <c r="F10" i="3" l="1"/>
  <c r="F11" i="3" l="1"/>
  <c r="F12" i="3" l="1"/>
  <c r="F1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Lizzie Paulus</author>
  </authors>
  <commentList>
    <comment ref="D3" authorId="0" shapeId="0" xr:uid="{9B4CCA01-6872-47DC-94CA-2B9555D98AE8}">
      <text>
        <r>
          <rPr>
            <b/>
            <sz val="10"/>
            <color rgb="FF000000"/>
            <rFont val="Tahoma"/>
            <family val="2"/>
          </rPr>
          <t>Lizzie Paulus: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Standard reduction potential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3M KCl Ag/AgCl</t>
        </r>
      </text>
    </comment>
    <comment ref="M38" authorId="0" shapeId="0" xr:uid="{434A7FC5-D24E-3441-964C-8473916F9E22}">
      <text>
        <r>
          <rPr>
            <b/>
            <sz val="10"/>
            <color rgb="FF000000"/>
            <rFont val="Tahoma"/>
            <family val="2"/>
          </rPr>
          <t>Lizzie Paulus: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Standard reduction potential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3M KCl Ag/AgCl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Lizzie Paulus</author>
  </authors>
  <commentList>
    <comment ref="E4" authorId="0" shapeId="0" xr:uid="{CAFA9752-4185-442C-A237-192644A4F0C5}">
      <text>
        <r>
          <rPr>
            <b/>
            <sz val="10"/>
            <color rgb="FF000000"/>
            <rFont val="Tahoma"/>
            <family val="2"/>
          </rPr>
          <t>Lizzie Paulus: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Standard reduction potential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3M KCl Ag/AgCl</t>
        </r>
      </text>
    </comment>
    <comment ref="M36" authorId="0" shapeId="0" xr:uid="{22B8CC6E-D575-4CDF-AF64-6D1392998291}">
      <text>
        <r>
          <rPr>
            <b/>
            <sz val="10"/>
            <color rgb="FF000000"/>
            <rFont val="Tahoma"/>
            <family val="2"/>
          </rPr>
          <t>Lizzie Paulus: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Standard reduction potential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3M KCl Ag/AgCl</t>
        </r>
      </text>
    </comment>
    <comment ref="E51" authorId="0" shapeId="0" xr:uid="{7AE4FA4D-BDA6-6E4F-B15C-DAEB5EAE3306}">
      <text>
        <r>
          <rPr>
            <b/>
            <sz val="10"/>
            <color rgb="FF000000"/>
            <rFont val="Tahoma"/>
            <family val="2"/>
          </rPr>
          <t>Lizzie Paulus: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Standard reduction potential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3M KCl Ag/AgCl</t>
        </r>
      </text>
    </comment>
  </commentList>
</comments>
</file>

<file path=xl/sharedStrings.xml><?xml version="1.0" encoding="utf-8"?>
<sst xmlns="http://schemas.openxmlformats.org/spreadsheetml/2006/main" count="234" uniqueCount="54">
  <si>
    <t>Median redox values (mV) from timepoints 20 to 92 (720 min/12 h), collected on Kohala September 2021; measurements taken at 10-minute intervals</t>
  </si>
  <si>
    <t>Puanui Site</t>
  </si>
  <si>
    <t>Avg ORP (mv)</t>
  </si>
  <si>
    <t>Avg Temp (°C)</t>
  </si>
  <si>
    <t>Potential/SHE (mV)</t>
  </si>
  <si>
    <t>SHE CV</t>
  </si>
  <si>
    <t>SHE StDev</t>
  </si>
  <si>
    <t>MAP (mm/y)</t>
  </si>
  <si>
    <t>P1</t>
  </si>
  <si>
    <t>Timepoint</t>
  </si>
  <si>
    <t>Timepoint (min)</t>
  </si>
  <si>
    <t>Avg ORP (mV)</t>
  </si>
  <si>
    <t>Avg SHE (mV)</t>
  </si>
  <si>
    <t>Mean SHE (mV)</t>
  </si>
  <si>
    <t>Mean ORP (mV)</t>
  </si>
  <si>
    <t>St.Dev</t>
  </si>
  <si>
    <t>CV</t>
  </si>
  <si>
    <t>P6</t>
  </si>
  <si>
    <t>SHE St.Dev</t>
  </si>
  <si>
    <t>P13</t>
  </si>
  <si>
    <t>P16</t>
  </si>
  <si>
    <t>P20</t>
  </si>
  <si>
    <t>P23</t>
  </si>
  <si>
    <t>Max</t>
  </si>
  <si>
    <t>Min</t>
  </si>
  <si>
    <t>P26</t>
  </si>
  <si>
    <t>P30</t>
  </si>
  <si>
    <t>P33</t>
  </si>
  <si>
    <t>P36</t>
  </si>
  <si>
    <t>P40</t>
  </si>
  <si>
    <t>P43</t>
  </si>
  <si>
    <t>P46</t>
  </si>
  <si>
    <t>Redox potential, Kohala Mountain, Hawaii 2021</t>
  </si>
  <si>
    <t>Notes: measured September 2021, original values in Dropbox/Stanford/Lab/Projects/Thesis_Hawaii/Data/Fluke Data/Gradient</t>
  </si>
  <si>
    <t>Number</t>
  </si>
  <si>
    <t>Site</t>
  </si>
  <si>
    <t>16a</t>
  </si>
  <si>
    <t>P16a</t>
  </si>
  <si>
    <t>16b</t>
  </si>
  <si>
    <t>P16b</t>
  </si>
  <si>
    <r>
      <t>E</t>
    </r>
    <r>
      <rPr>
        <vertAlign val="subscript"/>
        <sz val="12"/>
        <color theme="1"/>
        <rFont val="Calibri"/>
        <family val="2"/>
        <scheme val="minor"/>
      </rPr>
      <t>0(25°C)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2"/>
        <color theme="1"/>
        <rFont val="Calibri"/>
        <family val="2"/>
        <scheme val="minor"/>
      </rPr>
      <t>E</t>
    </r>
    <r>
      <rPr>
        <vertAlign val="subscript"/>
        <sz val="12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– 0.198 × (</t>
    </r>
    <r>
      <rPr>
        <i/>
        <sz val="12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- 25) + √(</t>
    </r>
    <r>
      <rPr>
        <i/>
        <sz val="12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– </t>
    </r>
    <r>
      <rPr>
        <i/>
        <sz val="12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× </t>
    </r>
    <r>
      <rPr>
        <i/>
        <sz val="12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)</t>
    </r>
  </si>
  <si>
    <t>https://www.wolkersdorfer.info/en/redoxprobes.html</t>
  </si>
  <si>
    <t>T</t>
  </si>
  <si>
    <t>3M</t>
  </si>
  <si>
    <t>y=-0.7286x + 227.21</t>
  </si>
  <si>
    <t>Langmuir 1971</t>
  </si>
  <si>
    <t>SD upper</t>
  </si>
  <si>
    <t>SD lower</t>
  </si>
  <si>
    <t>Wolkersdorf (2008)</t>
  </si>
  <si>
    <t>This one below is used.</t>
  </si>
  <si>
    <t>pe</t>
  </si>
  <si>
    <t>Eh (V)</t>
  </si>
  <si>
    <t>Eh (mV)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</si>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</sst>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"/>
  </numFmts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1"/>
      <color theme="1"/>
      <name val="Calibri"/>
      <family val="2"/>
    </font>
    <font>
      <i/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165" fontId="3" fillId="0" borderId="0" xfId="0" applyNumberFormat="1" applyFont="1"/>
    <xf numFmtId="0" fontId="4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16">
    <dxf>
      <numFmt numFmtId="1" formatCode="0"/>
    </dxf>
    <dxf>
      <numFmt numFmtId="2" formatCode="0.00"/>
    </dxf>
    <dxf>
      <numFmt numFmtId="2" formatCode="0.00"/>
    </dxf>
    <dxf>
      <numFmt numFmtId="165" formatCode="0.000"/>
    </dxf>
    <dxf>
      <numFmt numFmtId="165" formatCode="0.000"/>
    </dxf>
    <dxf>
      <numFmt numFmtId="164" formatCode="0.0"/>
    </dxf>
    <dxf>
      <numFmt numFmtId="164" formatCode="0.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165" formatCode="0.000"/>
    </dxf>
    <dxf>
      <numFmt numFmtId="165" formatCode="0.000"/>
    </dxf>
    <dxf>
      <numFmt numFmtId="164" formatCode="0.0"/>
    </dxf>
    <dxf>
      <numFmt numFmtId="164" formatCode="0.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12-h Median mV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'Gradient Redox'!$I$4:$I$16</c:f>
              <c:numCache>
                <c:formatCode>0</c:formatCode>
                <c:ptCount val="13"/>
                <c:pt idx="0">
                  <c:v>3237.9897460900002</c:v>
                </c:pt>
                <c:pt idx="1">
                  <c:v>2686</c:v>
                </c:pt>
                <c:pt idx="2">
                  <c:v>2122.2141113299999</c:v>
                </c:pt>
                <c:pt idx="3">
                  <c:v>1807.7528076200001</c:v>
                </c:pt>
                <c:pt idx="4">
                  <c:v>1526.9757080100001</c:v>
                </c:pt>
                <c:pt idx="5">
                  <c:v>1289.3337402300001</c:v>
                </c:pt>
                <c:pt idx="6">
                  <c:v>1113.4626464800001</c:v>
                </c:pt>
                <c:pt idx="7">
                  <c:v>887.72674560500002</c:v>
                </c:pt>
                <c:pt idx="8">
                  <c:v>698</c:v>
                </c:pt>
                <c:pt idx="9">
                  <c:v>584</c:v>
                </c:pt>
                <c:pt idx="10">
                  <c:v>396.48348999000001</c:v>
                </c:pt>
                <c:pt idx="11">
                  <c:v>316</c:v>
                </c:pt>
                <c:pt idx="12">
                  <c:v>294.68939209000001</c:v>
                </c:pt>
              </c:numCache>
            </c:numRef>
          </c:xVal>
          <c:yVal>
            <c:numRef>
              <c:f>'Gradient Redox'!$D$4:$D$16</c:f>
              <c:numCache>
                <c:formatCode>0.0</c:formatCode>
                <c:ptCount val="13"/>
                <c:pt idx="0">
                  <c:v>346.18533644340414</c:v>
                </c:pt>
                <c:pt idx="1">
                  <c:v>-11.601444444444439</c:v>
                </c:pt>
                <c:pt idx="2">
                  <c:v>292.34855555555555</c:v>
                </c:pt>
                <c:pt idx="3">
                  <c:v>221.87366666666665</c:v>
                </c:pt>
                <c:pt idx="4">
                  <c:v>212.28300000000002</c:v>
                </c:pt>
                <c:pt idx="5">
                  <c:v>208.54288888888891</c:v>
                </c:pt>
                <c:pt idx="6">
                  <c:v>207.97188888888891</c:v>
                </c:pt>
                <c:pt idx="7">
                  <c:v>206.97594444444445</c:v>
                </c:pt>
                <c:pt idx="8">
                  <c:v>206.97111111111113</c:v>
                </c:pt>
                <c:pt idx="9">
                  <c:v>204.83683916608916</c:v>
                </c:pt>
                <c:pt idx="10">
                  <c:v>204.34005555555558</c:v>
                </c:pt>
                <c:pt idx="11">
                  <c:v>202.32616666666667</c:v>
                </c:pt>
                <c:pt idx="12">
                  <c:v>203.15312276854416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5A-4E21-B3C6-BC8AF2327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346712"/>
        <c:axId val="822347368"/>
      </c:scatterChart>
      <c:valAx>
        <c:axId val="822346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Annual Precipitation (mm/year)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347368"/>
        <c:crosses val="autoZero"/>
        <c:crossBetween val="midCat"/>
      </c:valAx>
      <c:valAx>
        <c:axId val="8223473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Reduction Potential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346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P1 (3238</a:t>
            </a:r>
            <a:r>
              <a:rPr lang="en-US" baseline="0"/>
              <a:t> mm/yr)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E9-44E9-8300-E4EF93899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216304"/>
        <c:axId val="526215976"/>
      </c:scatterChart>
      <c:valAx>
        <c:axId val="526216304"/>
        <c:scaling>
          <c:orientation val="minMax"/>
          <c:max val="920"/>
          <c:min val="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 Timepoint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15976"/>
        <c:crosses val="autoZero"/>
        <c:crossBetween val="midCat"/>
      </c:valAx>
      <c:valAx>
        <c:axId val="526215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Reduction</a:t>
                </a:r>
                <a:r>
                  <a:rPr lang="en-US" baseline="0"/>
                  <a:t> Potential (mV)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1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P6 (2686</a:t>
            </a:r>
            <a:r>
              <a:rPr lang="en-US" baseline="0"/>
              <a:t> mm/yr)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76-4E81-9DF8-B83B7A630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216304"/>
        <c:axId val="526215976"/>
      </c:scatterChart>
      <c:valAx>
        <c:axId val="526216304"/>
        <c:scaling>
          <c:orientation val="minMax"/>
          <c:max val="920"/>
          <c:min val="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 Timepoint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15976"/>
        <c:crosses val="autoZero"/>
        <c:crossBetween val="midCat"/>
      </c:valAx>
      <c:valAx>
        <c:axId val="526215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Reduction</a:t>
                </a:r>
                <a:r>
                  <a:rPr lang="en-US" baseline="0"/>
                  <a:t> Potential (mV)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1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P13 (2122</a:t>
            </a:r>
            <a:r>
              <a:rPr lang="en-US" baseline="0"/>
              <a:t> mm/yr)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2D-4818-B3C1-E1095DEFB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216304"/>
        <c:axId val="526215976"/>
      </c:scatterChart>
      <c:valAx>
        <c:axId val="526216304"/>
        <c:scaling>
          <c:orientation val="minMax"/>
          <c:max val="920"/>
          <c:min val="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 Timepoint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15976"/>
        <c:crosses val="autoZero"/>
        <c:crossBetween val="midCat"/>
      </c:valAx>
      <c:valAx>
        <c:axId val="526215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Reduction</a:t>
                </a:r>
                <a:r>
                  <a:rPr lang="en-US" baseline="0"/>
                  <a:t> Potential (mV)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1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P16 (1808</a:t>
            </a:r>
            <a:r>
              <a:rPr lang="en-US" baseline="0"/>
              <a:t> mm/yr)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B8-4E6D-8C95-91DCC574E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216304"/>
        <c:axId val="526215976"/>
      </c:scatterChart>
      <c:valAx>
        <c:axId val="526216304"/>
        <c:scaling>
          <c:orientation val="minMax"/>
          <c:max val="920"/>
          <c:min val="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 Timepoint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15976"/>
        <c:crosses val="autoZero"/>
        <c:crossBetween val="midCat"/>
      </c:valAx>
      <c:valAx>
        <c:axId val="526215976"/>
        <c:scaling>
          <c:orientation val="minMax"/>
          <c:min val="2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Reduction</a:t>
                </a:r>
                <a:r>
                  <a:rPr lang="en-US" baseline="0"/>
                  <a:t> Potential (mV)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1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P20 (1527</a:t>
            </a:r>
            <a:r>
              <a:rPr lang="en-US" baseline="0"/>
              <a:t> mm/yr)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F3-4FBF-91EA-1A0092181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216304"/>
        <c:axId val="526215976"/>
      </c:scatterChart>
      <c:valAx>
        <c:axId val="526216304"/>
        <c:scaling>
          <c:orientation val="minMax"/>
          <c:max val="920"/>
          <c:min val="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 Timepoint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15976"/>
        <c:crosses val="autoZero"/>
        <c:crossBetween val="midCat"/>
      </c:valAx>
      <c:valAx>
        <c:axId val="526215976"/>
        <c:scaling>
          <c:orientation val="minMax"/>
          <c:min val="2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Reduction</a:t>
                </a:r>
                <a:r>
                  <a:rPr lang="en-US" baseline="0"/>
                  <a:t> Potential (mV)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1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P23 (1289</a:t>
            </a:r>
            <a:r>
              <a:rPr lang="en-US" baseline="0"/>
              <a:t> mm/yr)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EB-4955-B211-8A10551AD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216304"/>
        <c:axId val="526215976"/>
      </c:scatterChart>
      <c:valAx>
        <c:axId val="526216304"/>
        <c:scaling>
          <c:orientation val="minMax"/>
          <c:max val="920"/>
          <c:min val="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 Timepoint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15976"/>
        <c:crosses val="autoZero"/>
        <c:crossBetween val="midCat"/>
      </c:valAx>
      <c:valAx>
        <c:axId val="526215976"/>
        <c:scaling>
          <c:orientation val="minMax"/>
          <c:min val="2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Reduction</a:t>
                </a:r>
                <a:r>
                  <a:rPr lang="en-US" baseline="0"/>
                  <a:t> Potential (mV)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1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P26 (1113</a:t>
            </a:r>
            <a:r>
              <a:rPr lang="en-US" baseline="0"/>
              <a:t> mm/yr)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B4-4239-8332-A435258A6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216304"/>
        <c:axId val="526215976"/>
      </c:scatterChart>
      <c:valAx>
        <c:axId val="526216304"/>
        <c:scaling>
          <c:orientation val="minMax"/>
          <c:max val="920"/>
          <c:min val="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 Timepoint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15976"/>
        <c:crosses val="autoZero"/>
        <c:crossBetween val="midCat"/>
      </c:valAx>
      <c:valAx>
        <c:axId val="526215976"/>
        <c:scaling>
          <c:orientation val="minMax"/>
          <c:min val="20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Reduction</a:t>
                </a:r>
                <a:r>
                  <a:rPr lang="en-US" baseline="0"/>
                  <a:t> Potential (mV)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1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P30 (888</a:t>
            </a:r>
            <a:r>
              <a:rPr lang="en-US" baseline="0"/>
              <a:t> mm/yr)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0C-4161-A0E2-DFCA5F964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216304"/>
        <c:axId val="526215976"/>
      </c:scatterChart>
      <c:valAx>
        <c:axId val="526216304"/>
        <c:scaling>
          <c:orientation val="minMax"/>
          <c:max val="920"/>
          <c:min val="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 Timepoint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15976"/>
        <c:crosses val="autoZero"/>
        <c:crossBetween val="midCat"/>
      </c:valAx>
      <c:valAx>
        <c:axId val="526215976"/>
        <c:scaling>
          <c:orientation val="minMax"/>
          <c:min val="20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Reduction</a:t>
                </a:r>
                <a:r>
                  <a:rPr lang="en-US" baseline="0"/>
                  <a:t> Potential (mV)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1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P33 (698 </a:t>
            </a:r>
            <a:r>
              <a:rPr lang="en-US" baseline="0"/>
              <a:t>mm/yr)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DD-4444-AF27-B308BC5CE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216304"/>
        <c:axId val="526215976"/>
      </c:scatterChart>
      <c:valAx>
        <c:axId val="526216304"/>
        <c:scaling>
          <c:orientation val="minMax"/>
          <c:max val="920"/>
          <c:min val="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 Timepoint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15976"/>
        <c:crosses val="autoZero"/>
        <c:crossBetween val="midCat"/>
      </c:valAx>
      <c:valAx>
        <c:axId val="526215976"/>
        <c:scaling>
          <c:orientation val="minMax"/>
          <c:min val="206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Reduction</a:t>
                </a:r>
                <a:r>
                  <a:rPr lang="en-US" baseline="0"/>
                  <a:t> Potential (mV)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1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P36 (584 </a:t>
            </a:r>
            <a:r>
              <a:rPr lang="en-US" baseline="0"/>
              <a:t>mm/yr)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AA-4E99-A6BB-C5AADF06B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216304"/>
        <c:axId val="526215976"/>
      </c:scatterChart>
      <c:valAx>
        <c:axId val="526216304"/>
        <c:scaling>
          <c:orientation val="minMax"/>
          <c:max val="920"/>
          <c:min val="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 Timepoint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15976"/>
        <c:crosses val="autoZero"/>
        <c:crossBetween val="midCat"/>
      </c:valAx>
      <c:valAx>
        <c:axId val="526215976"/>
        <c:scaling>
          <c:orientation val="minMax"/>
          <c:max val="206"/>
          <c:min val="20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Reduction</a:t>
                </a:r>
                <a:r>
                  <a:rPr lang="en-US" baseline="0"/>
                  <a:t> Potential (mV)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1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P40 (396 </a:t>
            </a:r>
            <a:r>
              <a:rPr lang="en-US" baseline="0"/>
              <a:t>mm/yr)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DE-424A-83EA-9AD58D774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216304"/>
        <c:axId val="526215976"/>
      </c:scatterChart>
      <c:valAx>
        <c:axId val="526216304"/>
        <c:scaling>
          <c:orientation val="minMax"/>
          <c:max val="920"/>
          <c:min val="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 Timepoint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15976"/>
        <c:crosses val="autoZero"/>
        <c:crossBetween val="midCat"/>
      </c:valAx>
      <c:valAx>
        <c:axId val="526215976"/>
        <c:scaling>
          <c:orientation val="minMax"/>
          <c:max val="220"/>
          <c:min val="2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Reduction</a:t>
                </a:r>
                <a:r>
                  <a:rPr lang="en-US" baseline="0"/>
                  <a:t> Potential (mV)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1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P43 (316 </a:t>
            </a:r>
            <a:r>
              <a:rPr lang="en-US" baseline="0"/>
              <a:t>mm/yr)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3B-4743-98FB-CF027C966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216304"/>
        <c:axId val="526215976"/>
      </c:scatterChart>
      <c:valAx>
        <c:axId val="526216304"/>
        <c:scaling>
          <c:orientation val="minMax"/>
          <c:max val="920"/>
          <c:min val="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 Timepoint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15976"/>
        <c:crosses val="autoZero"/>
        <c:crossBetween val="midCat"/>
      </c:valAx>
      <c:valAx>
        <c:axId val="526215976"/>
        <c:scaling>
          <c:orientation val="minMax"/>
          <c:max val="203"/>
          <c:min val="20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Reduction</a:t>
                </a:r>
                <a:r>
                  <a:rPr lang="en-US" baseline="0"/>
                  <a:t> Potential (mV)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1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P46 (295 </a:t>
            </a:r>
            <a:r>
              <a:rPr lang="en-US" baseline="0"/>
              <a:t>mm/yr)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10-4A4E-BD4D-66CEC524F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216304"/>
        <c:axId val="526215976"/>
      </c:scatterChart>
      <c:valAx>
        <c:axId val="526216304"/>
        <c:scaling>
          <c:orientation val="minMax"/>
          <c:max val="920"/>
          <c:min val="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 Timepoint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15976"/>
        <c:crosses val="autoZero"/>
        <c:crossBetween val="midCat"/>
      </c:valAx>
      <c:valAx>
        <c:axId val="526215976"/>
        <c:scaling>
          <c:orientation val="minMax"/>
          <c:max val="204"/>
          <c:min val="20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Reduction</a:t>
                </a:r>
                <a:r>
                  <a:rPr lang="en-US" baseline="0"/>
                  <a:t> Potential (mV)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1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SHE CV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'Gradient Redox'!$I$4:$I$16</c:f>
              <c:numCache>
                <c:formatCode>0</c:formatCode>
                <c:ptCount val="13"/>
                <c:pt idx="0">
                  <c:v>3237.9897460900002</c:v>
                </c:pt>
                <c:pt idx="1">
                  <c:v>2686</c:v>
                </c:pt>
                <c:pt idx="2">
                  <c:v>2122.2141113299999</c:v>
                </c:pt>
                <c:pt idx="3">
                  <c:v>1807.7528076200001</c:v>
                </c:pt>
                <c:pt idx="4">
                  <c:v>1526.9757080100001</c:v>
                </c:pt>
                <c:pt idx="5">
                  <c:v>1289.3337402300001</c:v>
                </c:pt>
                <c:pt idx="6">
                  <c:v>1113.4626464800001</c:v>
                </c:pt>
                <c:pt idx="7">
                  <c:v>887.72674560500002</c:v>
                </c:pt>
                <c:pt idx="8">
                  <c:v>698</c:v>
                </c:pt>
                <c:pt idx="9">
                  <c:v>584</c:v>
                </c:pt>
                <c:pt idx="10">
                  <c:v>396.48348999000001</c:v>
                </c:pt>
                <c:pt idx="11">
                  <c:v>316</c:v>
                </c:pt>
                <c:pt idx="12">
                  <c:v>294.68939209000001</c:v>
                </c:pt>
              </c:numCache>
            </c:numRef>
          </c:xVal>
          <c:yVal>
            <c:numRef>
              <c:f>'Gradient Redox'!$E$4:$E$16</c:f>
              <c:numCache>
                <c:formatCode>0.000</c:formatCode>
                <c:ptCount val="13"/>
                <c:pt idx="0">
                  <c:v>0.25939219141660447</c:v>
                </c:pt>
                <c:pt idx="1">
                  <c:v>-1844.5261307478311</c:v>
                </c:pt>
                <c:pt idx="2">
                  <c:v>1.6433159592771363</c:v>
                </c:pt>
                <c:pt idx="3">
                  <c:v>9.8732144893388973</c:v>
                </c:pt>
                <c:pt idx="4">
                  <c:v>1.1708932094408797</c:v>
                </c:pt>
                <c:pt idx="5">
                  <c:v>1.3084027317752405</c:v>
                </c:pt>
                <c:pt idx="6">
                  <c:v>0.31687653314296982</c:v>
                </c:pt>
                <c:pt idx="7">
                  <c:v>7.6553962610250159E-2</c:v>
                </c:pt>
                <c:pt idx="8">
                  <c:v>1.5640876246198769E-3</c:v>
                </c:pt>
                <c:pt idx="9">
                  <c:v>0.15796014111240628</c:v>
                </c:pt>
                <c:pt idx="10">
                  <c:v>2.0715723293900781</c:v>
                </c:pt>
                <c:pt idx="11">
                  <c:v>3.5802072140250054E-3</c:v>
                </c:pt>
                <c:pt idx="12">
                  <c:v>5.8747556007252205E-2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F5-4CD5-9419-AE13C448B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722128"/>
        <c:axId val="702728032"/>
      </c:scatterChart>
      <c:valAx>
        <c:axId val="702722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Annual Precipitation (mm/year)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728032"/>
        <c:crosses val="autoZero"/>
        <c:crossBetween val="midCat"/>
      </c:valAx>
      <c:valAx>
        <c:axId val="7027280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</a:t>
                </a:r>
                <a:r>
                  <a:rPr lang="en-US" baseline="0"/>
                  <a:t> Reduction Potential CV (mV)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722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SHE StDev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'Gradient Redox'!$I$4:$I$16</c:f>
              <c:numCache>
                <c:formatCode>0</c:formatCode>
                <c:ptCount val="13"/>
                <c:pt idx="0">
                  <c:v>3237.9897460900002</c:v>
                </c:pt>
                <c:pt idx="1">
                  <c:v>2686</c:v>
                </c:pt>
                <c:pt idx="2">
                  <c:v>2122.2141113299999</c:v>
                </c:pt>
                <c:pt idx="3">
                  <c:v>1807.7528076200001</c:v>
                </c:pt>
                <c:pt idx="4">
                  <c:v>1526.9757080100001</c:v>
                </c:pt>
                <c:pt idx="5">
                  <c:v>1289.3337402300001</c:v>
                </c:pt>
                <c:pt idx="6">
                  <c:v>1113.4626464800001</c:v>
                </c:pt>
                <c:pt idx="7">
                  <c:v>887.72674560500002</c:v>
                </c:pt>
                <c:pt idx="8">
                  <c:v>698</c:v>
                </c:pt>
                <c:pt idx="9">
                  <c:v>584</c:v>
                </c:pt>
                <c:pt idx="10">
                  <c:v>396.48348999000001</c:v>
                </c:pt>
                <c:pt idx="11">
                  <c:v>316</c:v>
                </c:pt>
                <c:pt idx="12">
                  <c:v>294.68939209000001</c:v>
                </c:pt>
              </c:numCache>
            </c:numRef>
          </c:xVal>
          <c:yVal>
            <c:numRef>
              <c:f>'Gradient Redox'!$F$4:$F$16</c:f>
              <c:numCache>
                <c:formatCode>0.000</c:formatCode>
                <c:ptCount val="13"/>
                <c:pt idx="0">
                  <c:v>0.89797773056349117</c:v>
                </c:pt>
                <c:pt idx="1">
                  <c:v>23.560775185064617</c:v>
                </c:pt>
                <c:pt idx="2">
                  <c:v>4.8136876758983762</c:v>
                </c:pt>
                <c:pt idx="3">
                  <c:v>22.379133343884515</c:v>
                </c:pt>
                <c:pt idx="4">
                  <c:v>1.1708932094408797</c:v>
                </c:pt>
                <c:pt idx="5">
                  <c:v>2.7333045474734368</c:v>
                </c:pt>
                <c:pt idx="6">
                  <c:v>0.65975586295708044</c:v>
                </c:pt>
                <c:pt idx="7">
                  <c:v>0.15840064538904253</c:v>
                </c:pt>
                <c:pt idx="8">
                  <c:v>3.237198179722471E-3</c:v>
                </c:pt>
                <c:pt idx="9">
                  <c:v>0.32352789878905419</c:v>
                </c:pt>
                <c:pt idx="10">
                  <c:v>4.2674847024110143</c:v>
                </c:pt>
                <c:pt idx="11">
                  <c:v>7.2437975358045428E-3</c:v>
                </c:pt>
                <c:pt idx="12">
                  <c:v>0.11935413481852572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AC-41A3-A30A-88250292E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449944"/>
        <c:axId val="427452240"/>
      </c:scatterChart>
      <c:valAx>
        <c:axId val="427449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Annual Precipitation (mm/year)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452240"/>
        <c:crosses val="autoZero"/>
        <c:crossBetween val="midCat"/>
      </c:valAx>
      <c:valAx>
        <c:axId val="4274522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Reduction Potential </a:t>
                </a:r>
                <a:r>
                  <a:rPr lang="el-GR" sz="1000" b="0" i="0" u="none" strike="noStrike" baseline="0"/>
                  <a:t>σ</a:t>
                </a:r>
                <a:r>
                  <a:rPr lang="en-US" sz="1000" b="0" i="0" u="none" strike="noStrike" baseline="0"/>
                  <a:t> (mV)</a:t>
                </a:r>
                <a:endParaRPr lang="en-US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449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tx>
            <c:v>Redox Potential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'Gradient Redox'!$I$4:$I$16</c:f>
              <c:numCache>
                <c:formatCode>0</c:formatCode>
                <c:ptCount val="13"/>
                <c:pt idx="0">
                  <c:v>3237.9897460900002</c:v>
                </c:pt>
                <c:pt idx="1">
                  <c:v>2686</c:v>
                </c:pt>
                <c:pt idx="2">
                  <c:v>2122.2141113299999</c:v>
                </c:pt>
                <c:pt idx="3">
                  <c:v>1807.7528076200001</c:v>
                </c:pt>
                <c:pt idx="4">
                  <c:v>1526.9757080100001</c:v>
                </c:pt>
                <c:pt idx="5">
                  <c:v>1289.3337402300001</c:v>
                </c:pt>
                <c:pt idx="6">
                  <c:v>1113.4626464800001</c:v>
                </c:pt>
                <c:pt idx="7">
                  <c:v>887.72674560500002</c:v>
                </c:pt>
                <c:pt idx="8">
                  <c:v>698</c:v>
                </c:pt>
                <c:pt idx="9">
                  <c:v>584</c:v>
                </c:pt>
                <c:pt idx="10">
                  <c:v>396.48348999000001</c:v>
                </c:pt>
                <c:pt idx="11">
                  <c:v>316</c:v>
                </c:pt>
                <c:pt idx="12">
                  <c:v>294.68939209000001</c:v>
                </c:pt>
              </c:numCache>
            </c:numRef>
          </c:xVal>
          <c:yVal>
            <c:numRef>
              <c:f>'Gradient Redox'!$D$4:$D$16</c:f>
              <c:numCache>
                <c:formatCode>0.0</c:formatCode>
                <c:ptCount val="13"/>
                <c:pt idx="0">
                  <c:v>346.18533644340414</c:v>
                </c:pt>
                <c:pt idx="1">
                  <c:v>-11.601444444444439</c:v>
                </c:pt>
                <c:pt idx="2">
                  <c:v>292.34855555555555</c:v>
                </c:pt>
                <c:pt idx="3">
                  <c:v>221.87366666666665</c:v>
                </c:pt>
                <c:pt idx="4">
                  <c:v>212.28300000000002</c:v>
                </c:pt>
                <c:pt idx="5">
                  <c:v>208.54288888888891</c:v>
                </c:pt>
                <c:pt idx="6">
                  <c:v>207.97188888888891</c:v>
                </c:pt>
                <c:pt idx="7">
                  <c:v>206.97594444444445</c:v>
                </c:pt>
                <c:pt idx="8">
                  <c:v>206.97111111111113</c:v>
                </c:pt>
                <c:pt idx="9">
                  <c:v>204.83683916608916</c:v>
                </c:pt>
                <c:pt idx="10">
                  <c:v>204.34005555555558</c:v>
                </c:pt>
                <c:pt idx="11">
                  <c:v>202.32616666666667</c:v>
                </c:pt>
                <c:pt idx="12">
                  <c:v>203.15312276854416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54-5942-B298-C0FD6B6D9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2802527"/>
        <c:axId val="1413904143"/>
      </c:scatterChart>
      <c:scatterChart>
        <c:scatterStyle val="lineMarker"/>
        <c:varyColors val="0"/>
        <c:ser>
          <c:idx val="0"/>
          <c:order val="0"/>
          <c:tx>
            <c:v>Standard Deviation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'Gradient Redox'!$I$4:$I$16</c:f>
              <c:numCache>
                <c:formatCode>0</c:formatCode>
                <c:ptCount val="13"/>
                <c:pt idx="0">
                  <c:v>3237.9897460900002</c:v>
                </c:pt>
                <c:pt idx="1">
                  <c:v>2686</c:v>
                </c:pt>
                <c:pt idx="2">
                  <c:v>2122.2141113299999</c:v>
                </c:pt>
                <c:pt idx="3">
                  <c:v>1807.7528076200001</c:v>
                </c:pt>
                <c:pt idx="4">
                  <c:v>1526.9757080100001</c:v>
                </c:pt>
                <c:pt idx="5">
                  <c:v>1289.3337402300001</c:v>
                </c:pt>
                <c:pt idx="6">
                  <c:v>1113.4626464800001</c:v>
                </c:pt>
                <c:pt idx="7">
                  <c:v>887.72674560500002</c:v>
                </c:pt>
                <c:pt idx="8">
                  <c:v>698</c:v>
                </c:pt>
                <c:pt idx="9">
                  <c:v>584</c:v>
                </c:pt>
                <c:pt idx="10">
                  <c:v>396.48348999000001</c:v>
                </c:pt>
                <c:pt idx="11">
                  <c:v>316</c:v>
                </c:pt>
                <c:pt idx="12">
                  <c:v>294.68939209000001</c:v>
                </c:pt>
              </c:numCache>
            </c:numRef>
          </c:xVal>
          <c:yVal>
            <c:numRef>
              <c:f>'Gradient Redox'!$F$4:$F$16</c:f>
              <c:numCache>
                <c:formatCode>0.000</c:formatCode>
                <c:ptCount val="13"/>
                <c:pt idx="0">
                  <c:v>0.89797773056349117</c:v>
                </c:pt>
                <c:pt idx="1">
                  <c:v>23.560775185064617</c:v>
                </c:pt>
                <c:pt idx="2">
                  <c:v>4.8136876758983762</c:v>
                </c:pt>
                <c:pt idx="3">
                  <c:v>22.379133343884515</c:v>
                </c:pt>
                <c:pt idx="4">
                  <c:v>1.1708932094408797</c:v>
                </c:pt>
                <c:pt idx="5">
                  <c:v>2.7333045474734368</c:v>
                </c:pt>
                <c:pt idx="6">
                  <c:v>0.65975586295708044</c:v>
                </c:pt>
                <c:pt idx="7">
                  <c:v>0.15840064538904253</c:v>
                </c:pt>
                <c:pt idx="8">
                  <c:v>3.237198179722471E-3</c:v>
                </c:pt>
                <c:pt idx="9">
                  <c:v>0.32352789878905419</c:v>
                </c:pt>
                <c:pt idx="10">
                  <c:v>4.2674847024110143</c:v>
                </c:pt>
                <c:pt idx="11">
                  <c:v>7.2437975358045428E-3</c:v>
                </c:pt>
                <c:pt idx="12">
                  <c:v>0.11935413481852572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54-5942-B298-C0FD6B6D9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767759"/>
        <c:axId val="1875869584"/>
      </c:scatterChart>
      <c:valAx>
        <c:axId val="1372802527"/>
        <c:scaling>
          <c:orientation val="minMax"/>
          <c:max val="3250"/>
          <c:min val="2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Annual Precipitation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904143"/>
        <c:crosses val="autoZero"/>
        <c:crossBetween val="midCat"/>
      </c:valAx>
      <c:valAx>
        <c:axId val="14139041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Standard Reduction Potential (mV)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802527"/>
        <c:crosses val="autoZero"/>
        <c:crossBetween val="midCat"/>
      </c:valAx>
      <c:valAx>
        <c:axId val="187586958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Deviation</a:t>
                </a:r>
                <a:r>
                  <a:rPr lang="en-US" baseline="0"/>
                  <a:t> (mV)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767759"/>
        <c:crosses val="max"/>
        <c:crossBetween val="midCat"/>
      </c:valAx>
      <c:valAx>
        <c:axId val="1413767759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75869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1"/>
          <c:order val="1"/>
          <c:tx>
            <c:strRef>
              <c:f>'Gradient Redox'!$G$3</c:f>
              <c:strCache>
                <c:ptCount val="1"/>
                <c:pt idx="0">
                  <c:v>SD upper</c:v>
                </c:pt>
              </c:strCache>
            </c:strRef>
          </c:tx>
          <c:spPr>
            <a:solidFill>
              <a:schemeClr val="tx1">
                <a:alpha val="16000"/>
              </a:schemeClr>
            </a:solidFill>
            <a:ln>
              <a:noFill/>
            </a:ln>
            <a:effectLst/>
          </c:spPr>
          <c:cat>
            <c:numRef>
              <c:f>'Gradient Redox'!$I$4:$I$16</c:f>
              <c:numCache>
                <c:formatCode>0</c:formatCode>
                <c:ptCount val="13"/>
                <c:pt idx="0">
                  <c:v>3237.9897460900002</c:v>
                </c:pt>
                <c:pt idx="1">
                  <c:v>2686</c:v>
                </c:pt>
                <c:pt idx="2">
                  <c:v>2122.2141113299999</c:v>
                </c:pt>
                <c:pt idx="3">
                  <c:v>1807.7528076200001</c:v>
                </c:pt>
                <c:pt idx="4">
                  <c:v>1526.9757080100001</c:v>
                </c:pt>
                <c:pt idx="5">
                  <c:v>1289.3337402300001</c:v>
                </c:pt>
                <c:pt idx="6">
                  <c:v>1113.4626464800001</c:v>
                </c:pt>
                <c:pt idx="7">
                  <c:v>887.72674560500002</c:v>
                </c:pt>
                <c:pt idx="8">
                  <c:v>698</c:v>
                </c:pt>
                <c:pt idx="9">
                  <c:v>584</c:v>
                </c:pt>
                <c:pt idx="10">
                  <c:v>396.48348999000001</c:v>
                </c:pt>
                <c:pt idx="11">
                  <c:v>316</c:v>
                </c:pt>
                <c:pt idx="12">
                  <c:v>294.68939209000001</c:v>
                </c:pt>
              </c:numCache>
            </c:numRef>
          </c:cat>
          <c:val>
            <c:numRef>
              <c:f>'Gradient Redox'!$G$4:$G$16</c:f>
              <c:numCache>
                <c:formatCode>0.00</c:formatCode>
                <c:ptCount val="13"/>
                <c:pt idx="0">
                  <c:v>347.08331417396761</c:v>
                </c:pt>
                <c:pt idx="1">
                  <c:v>11.959330740620178</c:v>
                </c:pt>
                <c:pt idx="2">
                  <c:v>297.16224323145394</c:v>
                </c:pt>
                <c:pt idx="3">
                  <c:v>244.25280001055117</c:v>
                </c:pt>
                <c:pt idx="4">
                  <c:v>213.45389320944091</c:v>
                </c:pt>
                <c:pt idx="5">
                  <c:v>211.27619343636235</c:v>
                </c:pt>
                <c:pt idx="6">
                  <c:v>208.63164475184598</c:v>
                </c:pt>
                <c:pt idx="7">
                  <c:v>207.13434508983349</c:v>
                </c:pt>
                <c:pt idx="8">
                  <c:v>206.97434830929086</c:v>
                </c:pt>
                <c:pt idx="9">
                  <c:v>205.16036706487822</c:v>
                </c:pt>
                <c:pt idx="10">
                  <c:v>208.6075402579666</c:v>
                </c:pt>
                <c:pt idx="11">
                  <c:v>202.33341046420247</c:v>
                </c:pt>
                <c:pt idx="12">
                  <c:v>203.2724769033627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934-A14D-B53A-B57524DF38F7}"/>
            </c:ext>
          </c:extLst>
        </c:ser>
        <c:ser>
          <c:idx val="2"/>
          <c:order val="2"/>
          <c:tx>
            <c:strRef>
              <c:f>'Gradient Redox'!$H$3</c:f>
              <c:strCache>
                <c:ptCount val="1"/>
                <c:pt idx="0">
                  <c:v>SD lower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cat>
            <c:numRef>
              <c:f>'Gradient Redox'!$I$4:$I$16</c:f>
              <c:numCache>
                <c:formatCode>0</c:formatCode>
                <c:ptCount val="13"/>
                <c:pt idx="0">
                  <c:v>3237.9897460900002</c:v>
                </c:pt>
                <c:pt idx="1">
                  <c:v>2686</c:v>
                </c:pt>
                <c:pt idx="2">
                  <c:v>2122.2141113299999</c:v>
                </c:pt>
                <c:pt idx="3">
                  <c:v>1807.7528076200001</c:v>
                </c:pt>
                <c:pt idx="4">
                  <c:v>1526.9757080100001</c:v>
                </c:pt>
                <c:pt idx="5">
                  <c:v>1289.3337402300001</c:v>
                </c:pt>
                <c:pt idx="6">
                  <c:v>1113.4626464800001</c:v>
                </c:pt>
                <c:pt idx="7">
                  <c:v>887.72674560500002</c:v>
                </c:pt>
                <c:pt idx="8">
                  <c:v>698</c:v>
                </c:pt>
                <c:pt idx="9">
                  <c:v>584</c:v>
                </c:pt>
                <c:pt idx="10">
                  <c:v>396.48348999000001</c:v>
                </c:pt>
                <c:pt idx="11">
                  <c:v>316</c:v>
                </c:pt>
                <c:pt idx="12">
                  <c:v>294.68939209000001</c:v>
                </c:pt>
              </c:numCache>
            </c:numRef>
          </c:cat>
          <c:val>
            <c:numRef>
              <c:f>'Gradient Redox'!$H$4:$H$16</c:f>
              <c:numCache>
                <c:formatCode>0.00</c:formatCode>
                <c:ptCount val="13"/>
                <c:pt idx="0">
                  <c:v>345.28735871284067</c:v>
                </c:pt>
                <c:pt idx="1">
                  <c:v>-35.162219629509053</c:v>
                </c:pt>
                <c:pt idx="2">
                  <c:v>287.53486787965716</c:v>
                </c:pt>
                <c:pt idx="3">
                  <c:v>199.49453332278213</c:v>
                </c:pt>
                <c:pt idx="4">
                  <c:v>211.11210679055912</c:v>
                </c:pt>
                <c:pt idx="5">
                  <c:v>205.80958434141547</c:v>
                </c:pt>
                <c:pt idx="6">
                  <c:v>207.31213302593184</c:v>
                </c:pt>
                <c:pt idx="7">
                  <c:v>206.81754379905541</c:v>
                </c:pt>
                <c:pt idx="8">
                  <c:v>206.9678739129314</c:v>
                </c:pt>
                <c:pt idx="9">
                  <c:v>204.51331126730011</c:v>
                </c:pt>
                <c:pt idx="10">
                  <c:v>200.07257085314455</c:v>
                </c:pt>
                <c:pt idx="11">
                  <c:v>202.31892286913086</c:v>
                </c:pt>
                <c:pt idx="12">
                  <c:v>203.03376863372563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934-A14D-B53A-B57524DF3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467360"/>
        <c:axId val="538469008"/>
      </c:areaChart>
      <c:lineChart>
        <c:grouping val="standard"/>
        <c:varyColors val="0"/>
        <c:ser>
          <c:idx val="0"/>
          <c:order val="0"/>
          <c:tx>
            <c:strRef>
              <c:f>'Gradient Redox'!$D$3</c:f>
              <c:strCache>
                <c:ptCount val="1"/>
                <c:pt idx="0">
                  <c:v>Potential/SHE (mV)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'Gradient Redox'!$I$4:$I$16</c:f>
              <c:numCache>
                <c:formatCode>0</c:formatCode>
                <c:ptCount val="13"/>
                <c:pt idx="0">
                  <c:v>3237.9897460900002</c:v>
                </c:pt>
                <c:pt idx="1">
                  <c:v>2686</c:v>
                </c:pt>
                <c:pt idx="2">
                  <c:v>2122.2141113299999</c:v>
                </c:pt>
                <c:pt idx="3">
                  <c:v>1807.7528076200001</c:v>
                </c:pt>
                <c:pt idx="4">
                  <c:v>1526.9757080100001</c:v>
                </c:pt>
                <c:pt idx="5">
                  <c:v>1289.3337402300001</c:v>
                </c:pt>
                <c:pt idx="6">
                  <c:v>1113.4626464800001</c:v>
                </c:pt>
                <c:pt idx="7">
                  <c:v>887.72674560500002</c:v>
                </c:pt>
                <c:pt idx="8">
                  <c:v>698</c:v>
                </c:pt>
                <c:pt idx="9">
                  <c:v>584</c:v>
                </c:pt>
                <c:pt idx="10">
                  <c:v>396.48348999000001</c:v>
                </c:pt>
                <c:pt idx="11">
                  <c:v>316</c:v>
                </c:pt>
                <c:pt idx="12">
                  <c:v>294.68939209000001</c:v>
                </c:pt>
              </c:numCache>
            </c:numRef>
          </c:cat>
          <c:val>
            <c:numRef>
              <c:f>'Gradient Redox'!$D$4:$D$16</c:f>
              <c:numCache>
                <c:formatCode>0.0</c:formatCode>
                <c:ptCount val="13"/>
                <c:pt idx="0">
                  <c:v>346.18533644340414</c:v>
                </c:pt>
                <c:pt idx="1">
                  <c:v>-11.601444444444439</c:v>
                </c:pt>
                <c:pt idx="2">
                  <c:v>292.34855555555555</c:v>
                </c:pt>
                <c:pt idx="3">
                  <c:v>221.87366666666665</c:v>
                </c:pt>
                <c:pt idx="4">
                  <c:v>212.28300000000002</c:v>
                </c:pt>
                <c:pt idx="5">
                  <c:v>208.54288888888891</c:v>
                </c:pt>
                <c:pt idx="6">
                  <c:v>207.97188888888891</c:v>
                </c:pt>
                <c:pt idx="7">
                  <c:v>206.97594444444445</c:v>
                </c:pt>
                <c:pt idx="8">
                  <c:v>206.97111111111113</c:v>
                </c:pt>
                <c:pt idx="9">
                  <c:v>204.83683916608916</c:v>
                </c:pt>
                <c:pt idx="10">
                  <c:v>204.34005555555558</c:v>
                </c:pt>
                <c:pt idx="11">
                  <c:v>202.32616666666667</c:v>
                </c:pt>
                <c:pt idx="12">
                  <c:v>203.15312276854416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934-A14D-B53A-B57524DF3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467360"/>
        <c:axId val="538469008"/>
      </c:lineChart>
      <c:catAx>
        <c:axId val="538467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Annual Precipitation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469008"/>
        <c:crossesAt val="-40"/>
        <c:auto val="1"/>
        <c:lblAlgn val="ctr"/>
        <c:lblOffset val="100"/>
        <c:noMultiLvlLbl val="0"/>
      </c:catAx>
      <c:valAx>
        <c:axId val="538469008"/>
        <c:scaling>
          <c:orientation val="minMax"/>
          <c:max val="360"/>
          <c:min val="-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Reduction Potential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467360"/>
        <c:crosses val="autoZero"/>
        <c:crossBetween val="between"/>
        <c:majorUnit val="4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1"/>
          <c:order val="1"/>
          <c:tx>
            <c:strRef>
              <c:f>'Gradient Redox'!$G$3</c:f>
              <c:strCache>
                <c:ptCount val="1"/>
                <c:pt idx="0">
                  <c:v>SD upper</c:v>
                </c:pt>
              </c:strCache>
            </c:strRef>
          </c:tx>
          <c:spPr>
            <a:solidFill>
              <a:schemeClr val="tx1">
                <a:alpha val="20000"/>
              </a:schemeClr>
            </a:solidFill>
            <a:ln w="25400">
              <a:noFill/>
            </a:ln>
            <a:effectLst/>
          </c:spPr>
          <c:cat>
            <c:numRef>
              <c:f>'Gradient Redox'!$R$39:$R$51</c:f>
              <c:numCache>
                <c:formatCode>0</c:formatCode>
                <c:ptCount val="13"/>
                <c:pt idx="0">
                  <c:v>294.68939209000001</c:v>
                </c:pt>
                <c:pt idx="1">
                  <c:v>316</c:v>
                </c:pt>
                <c:pt idx="2">
                  <c:v>396.48348999000001</c:v>
                </c:pt>
                <c:pt idx="3">
                  <c:v>584</c:v>
                </c:pt>
                <c:pt idx="4">
                  <c:v>698</c:v>
                </c:pt>
                <c:pt idx="5">
                  <c:v>887.72674560500002</c:v>
                </c:pt>
                <c:pt idx="6">
                  <c:v>1113.4626464800001</c:v>
                </c:pt>
                <c:pt idx="7">
                  <c:v>1289.3337402300001</c:v>
                </c:pt>
                <c:pt idx="8">
                  <c:v>1526.9757080100001</c:v>
                </c:pt>
                <c:pt idx="9">
                  <c:v>1807.7528076200001</c:v>
                </c:pt>
                <c:pt idx="10">
                  <c:v>2122.2141113299999</c:v>
                </c:pt>
                <c:pt idx="11">
                  <c:v>2686</c:v>
                </c:pt>
                <c:pt idx="12">
                  <c:v>3237.9897460900002</c:v>
                </c:pt>
              </c:numCache>
            </c:numRef>
          </c:cat>
          <c:val>
            <c:numRef>
              <c:f>'Gradient Redox'!$P$39:$P$51</c:f>
              <c:numCache>
                <c:formatCode>0.00</c:formatCode>
                <c:ptCount val="13"/>
                <c:pt idx="0">
                  <c:v>199.64120370295302</c:v>
                </c:pt>
                <c:pt idx="1">
                  <c:v>198.5856263420971</c:v>
                </c:pt>
                <c:pt idx="2">
                  <c:v>205.43395458790093</c:v>
                </c:pt>
                <c:pt idx="3">
                  <c:v>201.64476406182496</c:v>
                </c:pt>
                <c:pt idx="4">
                  <c:v>204.51664202702773</c:v>
                </c:pt>
                <c:pt idx="5">
                  <c:v>204.51444299861927</c:v>
                </c:pt>
                <c:pt idx="6">
                  <c:v>205.28798190448165</c:v>
                </c:pt>
                <c:pt idx="7">
                  <c:v>207.93253058899802</c:v>
                </c:pt>
                <c:pt idx="8">
                  <c:v>210.55967520767257</c:v>
                </c:pt>
                <c:pt idx="9">
                  <c:v>241.02272790011713</c:v>
                </c:pt>
                <c:pt idx="10">
                  <c:v>293.47281998370812</c:v>
                </c:pt>
                <c:pt idx="11">
                  <c:v>8.2699074928743563</c:v>
                </c:pt>
                <c:pt idx="12">
                  <c:v>343.73965132660328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2E-484E-BF92-BCC35E334AD8}"/>
            </c:ext>
          </c:extLst>
        </c:ser>
        <c:ser>
          <c:idx val="2"/>
          <c:order val="2"/>
          <c:tx>
            <c:strRef>
              <c:f>'Gradient Redox'!$H$3</c:f>
              <c:strCache>
                <c:ptCount val="1"/>
                <c:pt idx="0">
                  <c:v>SD lower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numRef>
              <c:f>'Gradient Redox'!$R$39:$R$51</c:f>
              <c:numCache>
                <c:formatCode>0</c:formatCode>
                <c:ptCount val="13"/>
                <c:pt idx="0">
                  <c:v>294.68939209000001</c:v>
                </c:pt>
                <c:pt idx="1">
                  <c:v>316</c:v>
                </c:pt>
                <c:pt idx="2">
                  <c:v>396.48348999000001</c:v>
                </c:pt>
                <c:pt idx="3">
                  <c:v>584</c:v>
                </c:pt>
                <c:pt idx="4">
                  <c:v>698</c:v>
                </c:pt>
                <c:pt idx="5">
                  <c:v>887.72674560500002</c:v>
                </c:pt>
                <c:pt idx="6">
                  <c:v>1113.4626464800001</c:v>
                </c:pt>
                <c:pt idx="7">
                  <c:v>1289.3337402300001</c:v>
                </c:pt>
                <c:pt idx="8">
                  <c:v>1526.9757080100001</c:v>
                </c:pt>
                <c:pt idx="9">
                  <c:v>1807.7528076200001</c:v>
                </c:pt>
                <c:pt idx="10">
                  <c:v>2122.2141113299999</c:v>
                </c:pt>
                <c:pt idx="11">
                  <c:v>2686</c:v>
                </c:pt>
                <c:pt idx="12">
                  <c:v>3237.9897460900002</c:v>
                </c:pt>
              </c:numCache>
            </c:numRef>
          </c:cat>
          <c:val>
            <c:numRef>
              <c:f>'Gradient Redox'!$Q$39:$Q$51</c:f>
              <c:numCache>
                <c:formatCode>0.00</c:formatCode>
                <c:ptCount val="13"/>
                <c:pt idx="0">
                  <c:v>199.40249543331595</c:v>
                </c:pt>
                <c:pt idx="1">
                  <c:v>198.57113874702549</c:v>
                </c:pt>
                <c:pt idx="2">
                  <c:v>196.89898518307888</c:v>
                </c:pt>
                <c:pt idx="3">
                  <c:v>200.99770826424685</c:v>
                </c:pt>
                <c:pt idx="4">
                  <c:v>204.51016763066826</c:v>
                </c:pt>
                <c:pt idx="5">
                  <c:v>204.1976417078412</c:v>
                </c:pt>
                <c:pt idx="6">
                  <c:v>203.96847017856751</c:v>
                </c:pt>
                <c:pt idx="7">
                  <c:v>202.46592149405114</c:v>
                </c:pt>
                <c:pt idx="8">
                  <c:v>208.21788878879079</c:v>
                </c:pt>
                <c:pt idx="9">
                  <c:v>196.2644612123481</c:v>
                </c:pt>
                <c:pt idx="10">
                  <c:v>283.84544463191133</c:v>
                </c:pt>
                <c:pt idx="11">
                  <c:v>-38.851642877254875</c:v>
                </c:pt>
                <c:pt idx="12">
                  <c:v>341.94369586547634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2E-484E-BF92-BCC35E334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467360"/>
        <c:axId val="538469008"/>
      </c:areaChart>
      <c:lineChart>
        <c:grouping val="standard"/>
        <c:varyColors val="0"/>
        <c:ser>
          <c:idx val="0"/>
          <c:order val="0"/>
          <c:tx>
            <c:strRef>
              <c:f>'Gradient Redox'!$D$3</c:f>
              <c:strCache>
                <c:ptCount val="1"/>
                <c:pt idx="0">
                  <c:v>Potential/SHE (mV)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'Gradient Redox'!$R$39:$R$51</c:f>
              <c:numCache>
                <c:formatCode>0</c:formatCode>
                <c:ptCount val="13"/>
                <c:pt idx="0">
                  <c:v>294.68939209000001</c:v>
                </c:pt>
                <c:pt idx="1">
                  <c:v>316</c:v>
                </c:pt>
                <c:pt idx="2">
                  <c:v>396.48348999000001</c:v>
                </c:pt>
                <c:pt idx="3">
                  <c:v>584</c:v>
                </c:pt>
                <c:pt idx="4">
                  <c:v>698</c:v>
                </c:pt>
                <c:pt idx="5">
                  <c:v>887.72674560500002</c:v>
                </c:pt>
                <c:pt idx="6">
                  <c:v>1113.4626464800001</c:v>
                </c:pt>
                <c:pt idx="7">
                  <c:v>1289.3337402300001</c:v>
                </c:pt>
                <c:pt idx="8">
                  <c:v>1526.9757080100001</c:v>
                </c:pt>
                <c:pt idx="9">
                  <c:v>1807.7528076200001</c:v>
                </c:pt>
                <c:pt idx="10">
                  <c:v>2122.2141113299999</c:v>
                </c:pt>
                <c:pt idx="11">
                  <c:v>2686</c:v>
                </c:pt>
                <c:pt idx="12">
                  <c:v>3237.9897460900002</c:v>
                </c:pt>
              </c:numCache>
            </c:numRef>
          </c:cat>
          <c:val>
            <c:numRef>
              <c:f>'Gradient Redox'!$M$39:$M$51</c:f>
              <c:numCache>
                <c:formatCode>0.0</c:formatCode>
                <c:ptCount val="13"/>
                <c:pt idx="0">
                  <c:v>199.52184956813448</c:v>
                </c:pt>
                <c:pt idx="1">
                  <c:v>198.57838254456129</c:v>
                </c:pt>
                <c:pt idx="2">
                  <c:v>201.1664698854899</c:v>
                </c:pt>
                <c:pt idx="3">
                  <c:v>201.32123616303591</c:v>
                </c:pt>
                <c:pt idx="4">
                  <c:v>204.513404828848</c:v>
                </c:pt>
                <c:pt idx="5">
                  <c:v>204.35604235323024</c:v>
                </c:pt>
                <c:pt idx="6">
                  <c:v>204.62822604152458</c:v>
                </c:pt>
                <c:pt idx="7">
                  <c:v>205.19922604152458</c:v>
                </c:pt>
                <c:pt idx="8">
                  <c:v>209.38878199823168</c:v>
                </c:pt>
                <c:pt idx="9">
                  <c:v>218.64359455623261</c:v>
                </c:pt>
                <c:pt idx="10">
                  <c:v>288.65913230780973</c:v>
                </c:pt>
                <c:pt idx="11">
                  <c:v>-15.290867692190261</c:v>
                </c:pt>
                <c:pt idx="12">
                  <c:v>342.84167359603981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2E-484E-BF92-BCC35E334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467360"/>
        <c:axId val="538469008"/>
      </c:lineChart>
      <c:catAx>
        <c:axId val="538467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Annual Precipitation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469008"/>
        <c:crossesAt val="-40"/>
        <c:auto val="1"/>
        <c:lblAlgn val="ctr"/>
        <c:lblOffset val="100"/>
        <c:tickLblSkip val="2"/>
        <c:noMultiLvlLbl val="0"/>
      </c:catAx>
      <c:valAx>
        <c:axId val="538469008"/>
        <c:scaling>
          <c:orientation val="minMax"/>
          <c:max val="360"/>
          <c:min val="-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Reduction Potential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467360"/>
        <c:crosses val="autoZero"/>
        <c:crossBetween val="between"/>
        <c:majorUnit val="4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'Gradient Redox'!$D$3</c:f>
              <c:strCache>
                <c:ptCount val="1"/>
                <c:pt idx="0">
                  <c:v>Potential/SHE (mV)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'Gradient Redox'!$O$39:$O$51</c:f>
                <c:numCache>
                  <c:formatCode>General</c:formatCode>
                  <c:ptCount val="13"/>
                  <c:pt idx="0">
                    <c:v>0.11935413481852572</c:v>
                  </c:pt>
                  <c:pt idx="1">
                    <c:v>7.2437975358045428E-3</c:v>
                  </c:pt>
                  <c:pt idx="2">
                    <c:v>4.2674847024110143</c:v>
                  </c:pt>
                  <c:pt idx="3">
                    <c:v>0.32352789878905419</c:v>
                  </c:pt>
                  <c:pt idx="4">
                    <c:v>3.237198179722471E-3</c:v>
                  </c:pt>
                  <c:pt idx="5">
                    <c:v>0.15840064538904253</c:v>
                  </c:pt>
                  <c:pt idx="6">
                    <c:v>0.65975586295708044</c:v>
                  </c:pt>
                  <c:pt idx="7">
                    <c:v>2.7333045474734368</c:v>
                  </c:pt>
                  <c:pt idx="8">
                    <c:v>1.1708932094408797</c:v>
                  </c:pt>
                  <c:pt idx="9">
                    <c:v>22.379133343884515</c:v>
                  </c:pt>
                  <c:pt idx="10">
                    <c:v>4.8136876758983762</c:v>
                  </c:pt>
                  <c:pt idx="11">
                    <c:v>23.560775185064617</c:v>
                  </c:pt>
                  <c:pt idx="12">
                    <c:v>0.89797773056349117</c:v>
                  </c:pt>
                </c:numCache>
              </c:numRef>
            </c:plus>
            <c:minus>
              <c:numRef>
                <c:f>'Gradient Redox'!$O$39:$O$51</c:f>
                <c:numCache>
                  <c:formatCode>General</c:formatCode>
                  <c:ptCount val="13"/>
                  <c:pt idx="0">
                    <c:v>0.11935413481852572</c:v>
                  </c:pt>
                  <c:pt idx="1">
                    <c:v>7.2437975358045428E-3</c:v>
                  </c:pt>
                  <c:pt idx="2">
                    <c:v>4.2674847024110143</c:v>
                  </c:pt>
                  <c:pt idx="3">
                    <c:v>0.32352789878905419</c:v>
                  </c:pt>
                  <c:pt idx="4">
                    <c:v>3.237198179722471E-3</c:v>
                  </c:pt>
                  <c:pt idx="5">
                    <c:v>0.15840064538904253</c:v>
                  </c:pt>
                  <c:pt idx="6">
                    <c:v>0.65975586295708044</c:v>
                  </c:pt>
                  <c:pt idx="7">
                    <c:v>2.7333045474734368</c:v>
                  </c:pt>
                  <c:pt idx="8">
                    <c:v>1.1708932094408797</c:v>
                  </c:pt>
                  <c:pt idx="9">
                    <c:v>22.379133343884515</c:v>
                  </c:pt>
                  <c:pt idx="10">
                    <c:v>4.8136876758983762</c:v>
                  </c:pt>
                  <c:pt idx="11">
                    <c:v>23.560775185064617</c:v>
                  </c:pt>
                  <c:pt idx="12">
                    <c:v>0.89797773056349117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'Gradient Redox'!$R$39:$R$51</c:f>
              <c:numCache>
                <c:formatCode>0</c:formatCode>
                <c:ptCount val="13"/>
                <c:pt idx="0">
                  <c:v>294.68939209000001</c:v>
                </c:pt>
                <c:pt idx="1">
                  <c:v>316</c:v>
                </c:pt>
                <c:pt idx="2">
                  <c:v>396.48348999000001</c:v>
                </c:pt>
                <c:pt idx="3">
                  <c:v>584</c:v>
                </c:pt>
                <c:pt idx="4">
                  <c:v>698</c:v>
                </c:pt>
                <c:pt idx="5">
                  <c:v>887.72674560500002</c:v>
                </c:pt>
                <c:pt idx="6">
                  <c:v>1113.4626464800001</c:v>
                </c:pt>
                <c:pt idx="7">
                  <c:v>1289.3337402300001</c:v>
                </c:pt>
                <c:pt idx="8">
                  <c:v>1526.9757080100001</c:v>
                </c:pt>
                <c:pt idx="9">
                  <c:v>1807.7528076200001</c:v>
                </c:pt>
                <c:pt idx="10">
                  <c:v>2122.2141113299999</c:v>
                </c:pt>
                <c:pt idx="11">
                  <c:v>2686</c:v>
                </c:pt>
                <c:pt idx="12">
                  <c:v>3237.9897460900002</c:v>
                </c:pt>
              </c:numCache>
            </c:numRef>
          </c:xVal>
          <c:yVal>
            <c:numRef>
              <c:f>'Gradient Redox'!$M$39:$M$51</c:f>
              <c:numCache>
                <c:formatCode>0.0</c:formatCode>
                <c:ptCount val="13"/>
                <c:pt idx="0">
                  <c:v>199.52184956813448</c:v>
                </c:pt>
                <c:pt idx="1">
                  <c:v>198.57838254456129</c:v>
                </c:pt>
                <c:pt idx="2">
                  <c:v>201.1664698854899</c:v>
                </c:pt>
                <c:pt idx="3">
                  <c:v>201.32123616303591</c:v>
                </c:pt>
                <c:pt idx="4">
                  <c:v>204.513404828848</c:v>
                </c:pt>
                <c:pt idx="5">
                  <c:v>204.35604235323024</c:v>
                </c:pt>
                <c:pt idx="6">
                  <c:v>204.62822604152458</c:v>
                </c:pt>
                <c:pt idx="7">
                  <c:v>205.19922604152458</c:v>
                </c:pt>
                <c:pt idx="8">
                  <c:v>209.38878199823168</c:v>
                </c:pt>
                <c:pt idx="9">
                  <c:v>218.64359455623261</c:v>
                </c:pt>
                <c:pt idx="10">
                  <c:v>288.65913230780973</c:v>
                </c:pt>
                <c:pt idx="11">
                  <c:v>-15.290867692190261</c:v>
                </c:pt>
                <c:pt idx="12">
                  <c:v>342.84167359603981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D5-A648-8225-3AD6CB416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467360"/>
        <c:axId val="538469008"/>
      </c:scatterChart>
      <c:valAx>
        <c:axId val="538467360"/>
        <c:scaling>
          <c:orientation val="minMax"/>
          <c:max val="3250"/>
          <c:min val="2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Mean Annual Precipitation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38469008"/>
        <c:crossesAt val="0"/>
        <c:crossBetween val="midCat"/>
        <c:majorUnit val="500"/>
      </c:valAx>
      <c:valAx>
        <c:axId val="538469008"/>
        <c:scaling>
          <c:orientation val="minMax"/>
          <c:max val="360"/>
          <c:min val="-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Standard Reduction Potential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38467360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'Gradient Redox'!$D$3</c:f>
              <c:strCache>
                <c:ptCount val="1"/>
                <c:pt idx="0">
                  <c:v>Potential/SHE (mV)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'Gradient Redox'!$O$48:$O$51</c:f>
                <c:numCache>
                  <c:formatCode>General</c:formatCode>
                  <c:ptCount val="4"/>
                  <c:pt idx="0">
                    <c:v>22.379133343884515</c:v>
                  </c:pt>
                  <c:pt idx="1">
                    <c:v>4.8136876758983762</c:v>
                  </c:pt>
                  <c:pt idx="2">
                    <c:v>23.560775185064617</c:v>
                  </c:pt>
                  <c:pt idx="3">
                    <c:v>0.89797773056349117</c:v>
                  </c:pt>
                </c:numCache>
              </c:numRef>
            </c:plus>
            <c:minus>
              <c:numRef>
                <c:f>'Gradient Redox'!$O$48:$O$51</c:f>
                <c:numCache>
                  <c:formatCode>General</c:formatCode>
                  <c:ptCount val="4"/>
                  <c:pt idx="0">
                    <c:v>22.379133343884515</c:v>
                  </c:pt>
                  <c:pt idx="1">
                    <c:v>4.8136876758983762</c:v>
                  </c:pt>
                  <c:pt idx="2">
                    <c:v>23.560775185064617</c:v>
                  </c:pt>
                  <c:pt idx="3">
                    <c:v>0.89797773056349117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'Gradient Redox'!$R$48:$R$51</c:f>
              <c:numCache>
                <c:formatCode>0</c:formatCode>
                <c:ptCount val="4"/>
                <c:pt idx="0">
                  <c:v>1807.7528076200001</c:v>
                </c:pt>
                <c:pt idx="1">
                  <c:v>2122.2141113299999</c:v>
                </c:pt>
                <c:pt idx="2">
                  <c:v>2686</c:v>
                </c:pt>
                <c:pt idx="3">
                  <c:v>3237.9897460900002</c:v>
                </c:pt>
              </c:numCache>
            </c:numRef>
          </c:xVal>
          <c:yVal>
            <c:numRef>
              <c:f>'Gradient Redox'!$M$48:$M$51</c:f>
              <c:numCache>
                <c:formatCode>0.0</c:formatCode>
                <c:ptCount val="4"/>
                <c:pt idx="0">
                  <c:v>218.64359455623261</c:v>
                </c:pt>
                <c:pt idx="1">
                  <c:v>288.65913230780973</c:v>
                </c:pt>
                <c:pt idx="2">
                  <c:v>-15.290867692190261</c:v>
                </c:pt>
                <c:pt idx="3">
                  <c:v>342.84167359603981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37-104E-9DDE-640BFCB29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467360"/>
        <c:axId val="538469008"/>
      </c:scatterChart>
      <c:valAx>
        <c:axId val="538467360"/>
        <c:scaling>
          <c:orientation val="minMax"/>
          <c:max val="3250"/>
          <c:min val="17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Mean Annual Precipitation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38469008"/>
        <c:crossesAt val="0"/>
        <c:crossBetween val="midCat"/>
        <c:majorUnit val="500"/>
      </c:valAx>
      <c:valAx>
        <c:axId val="538469008"/>
        <c:scaling>
          <c:orientation val="minMax"/>
          <c:max val="360"/>
          <c:min val="-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Standard Reduction Potential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38467360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+mn-lt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Kohala Soil SHE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'Gradient Redox_SHE'!$F$5:$F$18</c:f>
              <c:numCache>
                <c:formatCode>0</c:formatCode>
                <c:ptCount val="14"/>
                <c:pt idx="0">
                  <c:v>3237.9897460900002</c:v>
                </c:pt>
                <c:pt idx="1">
                  <c:v>2429.2712402299999</c:v>
                </c:pt>
                <c:pt idx="2">
                  <c:v>2122.2141113299999</c:v>
                </c:pt>
                <c:pt idx="3">
                  <c:v>1807.7528076200001</c:v>
                </c:pt>
                <c:pt idx="4">
                  <c:v>1807.7528076200001</c:v>
                </c:pt>
                <c:pt idx="5">
                  <c:v>1526.9757080100001</c:v>
                </c:pt>
                <c:pt idx="6">
                  <c:v>1289.3337402300001</c:v>
                </c:pt>
                <c:pt idx="7">
                  <c:v>1113.4626464800001</c:v>
                </c:pt>
                <c:pt idx="8">
                  <c:v>887.72674560500002</c:v>
                </c:pt>
                <c:pt idx="9">
                  <c:v>954.46228027300003</c:v>
                </c:pt>
                <c:pt idx="10">
                  <c:v>821.85357666000004</c:v>
                </c:pt>
                <c:pt idx="11">
                  <c:v>396.48348999000001</c:v>
                </c:pt>
                <c:pt idx="12">
                  <c:v>316</c:v>
                </c:pt>
                <c:pt idx="13">
                  <c:v>294.68939209000001</c:v>
                </c:pt>
              </c:numCache>
            </c:numRef>
          </c:xVal>
          <c:yVal>
            <c:numRef>
              <c:f>'Gradient Redox_SHE'!$E$5:$E$18</c:f>
              <c:numCache>
                <c:formatCode>0.0</c:formatCode>
                <c:ptCount val="14"/>
                <c:pt idx="0">
                  <c:v>328.40090459162371</c:v>
                </c:pt>
                <c:pt idx="1">
                  <c:v>-50.33073028167351</c:v>
                </c:pt>
                <c:pt idx="2">
                  <c:v>274.39093638499321</c:v>
                </c:pt>
                <c:pt idx="3">
                  <c:v>199.72515888707753</c:v>
                </c:pt>
                <c:pt idx="4">
                  <c:v>198.32752361489412</c:v>
                </c:pt>
                <c:pt idx="5">
                  <c:v>205.48502851339848</c:v>
                </c:pt>
                <c:pt idx="6">
                  <c:v>203.21330695411174</c:v>
                </c:pt>
                <c:pt idx="7">
                  <c:v>201.28697362077841</c:v>
                </c:pt>
                <c:pt idx="8">
                  <c:v>201.81104890322064</c:v>
                </c:pt>
                <c:pt idx="9">
                  <c:v>201.98139221850499</c:v>
                </c:pt>
                <c:pt idx="10">
                  <c:v>198.09540600494492</c:v>
                </c:pt>
                <c:pt idx="11">
                  <c:v>198.59022537855026</c:v>
                </c:pt>
                <c:pt idx="12">
                  <c:v>195.96743940310421</c:v>
                </c:pt>
                <c:pt idx="13">
                  <c:v>196.77680737107454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69-496B-83D8-DA3BE0A54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8612431"/>
        <c:axId val="1820378815"/>
      </c:scatterChart>
      <c:valAx>
        <c:axId val="1708612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Annual Precipitation (mm/y)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378815"/>
        <c:crosses val="autoZero"/>
        <c:crossBetween val="midCat"/>
      </c:valAx>
      <c:valAx>
        <c:axId val="18203788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Reduction Potential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612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'Gradient Redox_SHE'!$N$37:$N$50</c:f>
              <c:numCache>
                <c:formatCode>0</c:formatCode>
                <c:ptCount val="14"/>
                <c:pt idx="0">
                  <c:v>3237.9897460900002</c:v>
                </c:pt>
                <c:pt idx="1">
                  <c:v>2429.2712402299999</c:v>
                </c:pt>
                <c:pt idx="2">
                  <c:v>2122.2141113299999</c:v>
                </c:pt>
                <c:pt idx="3">
                  <c:v>1807.7528076200001</c:v>
                </c:pt>
                <c:pt idx="4">
                  <c:v>1807.7528076200001</c:v>
                </c:pt>
                <c:pt idx="5">
                  <c:v>1526.9757080100001</c:v>
                </c:pt>
                <c:pt idx="6">
                  <c:v>1289.3337402300001</c:v>
                </c:pt>
                <c:pt idx="7">
                  <c:v>1113.4626464800001</c:v>
                </c:pt>
                <c:pt idx="8">
                  <c:v>887.72674560500002</c:v>
                </c:pt>
                <c:pt idx="9">
                  <c:v>954.46228027300003</c:v>
                </c:pt>
                <c:pt idx="10">
                  <c:v>821.85357666000004</c:v>
                </c:pt>
                <c:pt idx="11">
                  <c:v>396.48348999000001</c:v>
                </c:pt>
                <c:pt idx="12">
                  <c:v>316</c:v>
                </c:pt>
                <c:pt idx="13">
                  <c:v>294.68939209000001</c:v>
                </c:pt>
              </c:numCache>
            </c:numRef>
          </c:xVal>
          <c:yVal>
            <c:numRef>
              <c:f>'Gradient Redox_SHE'!$M$37:$M$50</c:f>
              <c:numCache>
                <c:formatCode>0.0</c:formatCode>
                <c:ptCount val="14"/>
                <c:pt idx="0">
                  <c:v>334.33081985973422</c:v>
                </c:pt>
                <c:pt idx="1">
                  <c:v>-44.034777777777805</c:v>
                </c:pt>
                <c:pt idx="2">
                  <c:v>280.68688888888892</c:v>
                </c:pt>
                <c:pt idx="3">
                  <c:v>205.63405555555556</c:v>
                </c:pt>
                <c:pt idx="4">
                  <c:v>204.13716666666667</c:v>
                </c:pt>
                <c:pt idx="5">
                  <c:v>210.93899999999999</c:v>
                </c:pt>
                <c:pt idx="6">
                  <c:v>209.14322222222225</c:v>
                </c:pt>
                <c:pt idx="7">
                  <c:v>207.21688888888892</c:v>
                </c:pt>
                <c:pt idx="8">
                  <c:v>206.97444444444446</c:v>
                </c:pt>
                <c:pt idx="9">
                  <c:v>206.97294444444447</c:v>
                </c:pt>
                <c:pt idx="10">
                  <c:v>204.20735590216523</c:v>
                </c:pt>
                <c:pt idx="11">
                  <c:v>204.34005555555558</c:v>
                </c:pt>
                <c:pt idx="12">
                  <c:v>202.32516666666666</c:v>
                </c:pt>
                <c:pt idx="13">
                  <c:v>203.01120585835943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D2-47E9-BEF9-73CD73514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777944"/>
        <c:axId val="315705048"/>
      </c:scatterChart>
      <c:valAx>
        <c:axId val="679777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Annual Precipitation (mm/year)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705048"/>
        <c:crosses val="autoZero"/>
        <c:crossBetween val="midCat"/>
      </c:valAx>
      <c:valAx>
        <c:axId val="315705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</a:t>
                </a:r>
                <a:r>
                  <a:rPr lang="en-US" baseline="0"/>
                  <a:t> Reduction Potential (mV)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777944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0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image" Target="../media/image3.png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82549</xdr:colOff>
      <xdr:row>17</xdr:row>
      <xdr:rowOff>96704</xdr:rowOff>
    </xdr:from>
    <xdr:to>
      <xdr:col>28</xdr:col>
      <xdr:colOff>723106</xdr:colOff>
      <xdr:row>31</xdr:row>
      <xdr:rowOff>10186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E46ED-7812-4667-A1BA-0243D1805B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71437</xdr:colOff>
      <xdr:row>24</xdr:row>
      <xdr:rowOff>13493</xdr:rowOff>
    </xdr:from>
    <xdr:to>
      <xdr:col>7</xdr:col>
      <xdr:colOff>568854</xdr:colOff>
      <xdr:row>37</xdr:row>
      <xdr:rowOff>177005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1EC9B9-0BEE-42F4-966C-01DAEC3E7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100</xdr:row>
      <xdr:rowOff>0</xdr:rowOff>
    </xdr:from>
    <xdr:to>
      <xdr:col>9</xdr:col>
      <xdr:colOff>642938</xdr:colOff>
      <xdr:row>113</xdr:row>
      <xdr:rowOff>163512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45D505-55CE-4F32-8431-45E975A7D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79375</xdr:colOff>
      <xdr:row>175</xdr:row>
      <xdr:rowOff>190499</xdr:rowOff>
    </xdr:from>
    <xdr:to>
      <xdr:col>10</xdr:col>
      <xdr:colOff>63501</xdr:colOff>
      <xdr:row>189</xdr:row>
      <xdr:rowOff>155574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D00480-4566-4B51-86C3-E43CC0EB0B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79375</xdr:colOff>
      <xdr:row>251</xdr:row>
      <xdr:rowOff>190499</xdr:rowOff>
    </xdr:from>
    <xdr:to>
      <xdr:col>10</xdr:col>
      <xdr:colOff>63501</xdr:colOff>
      <xdr:row>265</xdr:row>
      <xdr:rowOff>155574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D26740-683A-4C19-9F57-6D64F2D104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190500</xdr:colOff>
      <xdr:row>328</xdr:row>
      <xdr:rowOff>7938</xdr:rowOff>
    </xdr:from>
    <xdr:to>
      <xdr:col>10</xdr:col>
      <xdr:colOff>174626</xdr:colOff>
      <xdr:row>341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B2F1C3E-2E59-4BC6-980F-FF04343BDA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404</xdr:row>
      <xdr:rowOff>0</xdr:rowOff>
    </xdr:from>
    <xdr:to>
      <xdr:col>9</xdr:col>
      <xdr:colOff>642938</xdr:colOff>
      <xdr:row>417</xdr:row>
      <xdr:rowOff>163512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5BC23D4-522E-4206-AAFF-6D876AC79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0</xdr:colOff>
      <xdr:row>480</xdr:row>
      <xdr:rowOff>0</xdr:rowOff>
    </xdr:from>
    <xdr:to>
      <xdr:col>9</xdr:col>
      <xdr:colOff>642938</xdr:colOff>
      <xdr:row>493</xdr:row>
      <xdr:rowOff>163512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5D58979-B19A-4BD6-8689-54380F249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119063</xdr:colOff>
      <xdr:row>556</xdr:row>
      <xdr:rowOff>7937</xdr:rowOff>
    </xdr:from>
    <xdr:to>
      <xdr:col>10</xdr:col>
      <xdr:colOff>103189</xdr:colOff>
      <xdr:row>569</xdr:row>
      <xdr:rowOff>171449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9BFD9FB-F84B-4146-8A26-BF4135004C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119063</xdr:colOff>
      <xdr:row>632</xdr:row>
      <xdr:rowOff>7937</xdr:rowOff>
    </xdr:from>
    <xdr:to>
      <xdr:col>10</xdr:col>
      <xdr:colOff>103189</xdr:colOff>
      <xdr:row>645</xdr:row>
      <xdr:rowOff>171449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D2BAED6-16F5-4B67-AC60-A7C866A134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119063</xdr:colOff>
      <xdr:row>708</xdr:row>
      <xdr:rowOff>7937</xdr:rowOff>
    </xdr:from>
    <xdr:to>
      <xdr:col>10</xdr:col>
      <xdr:colOff>103189</xdr:colOff>
      <xdr:row>721</xdr:row>
      <xdr:rowOff>171449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AE0A384-F41E-45F9-A71F-037147BEA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119063</xdr:colOff>
      <xdr:row>784</xdr:row>
      <xdr:rowOff>7937</xdr:rowOff>
    </xdr:from>
    <xdr:to>
      <xdr:col>10</xdr:col>
      <xdr:colOff>103189</xdr:colOff>
      <xdr:row>797</xdr:row>
      <xdr:rowOff>171449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9CCFED3-5529-4896-9C72-DCAFC39020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119063</xdr:colOff>
      <xdr:row>860</xdr:row>
      <xdr:rowOff>7937</xdr:rowOff>
    </xdr:from>
    <xdr:to>
      <xdr:col>10</xdr:col>
      <xdr:colOff>103189</xdr:colOff>
      <xdr:row>873</xdr:row>
      <xdr:rowOff>171449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7FC50CF-4661-4836-B758-BC93D3E2E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119063</xdr:colOff>
      <xdr:row>936</xdr:row>
      <xdr:rowOff>7937</xdr:rowOff>
    </xdr:from>
    <xdr:to>
      <xdr:col>10</xdr:col>
      <xdr:colOff>103189</xdr:colOff>
      <xdr:row>949</xdr:row>
      <xdr:rowOff>171449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8788D52-1FAC-4399-BF99-E984A4AA3D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21</xdr:col>
      <xdr:colOff>735543</xdr:colOff>
      <xdr:row>2</xdr:row>
      <xdr:rowOff>29367</xdr:rowOff>
    </xdr:from>
    <xdr:to>
      <xdr:col>28</xdr:col>
      <xdr:colOff>695855</xdr:colOff>
      <xdr:row>15</xdr:row>
      <xdr:rowOff>179651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5B100F3-3E65-4BB9-A921-AFB1C7D4B6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29</xdr:col>
      <xdr:colOff>267228</xdr:colOff>
      <xdr:row>17</xdr:row>
      <xdr:rowOff>106096</xdr:rowOff>
    </xdr:from>
    <xdr:to>
      <xdr:col>36</xdr:col>
      <xdr:colOff>227542</xdr:colOff>
      <xdr:row>31</xdr:row>
      <xdr:rowOff>71172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080E574-F2BB-4182-B7D9-878E53BF70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29</xdr:col>
      <xdr:colOff>168011</xdr:colOff>
      <xdr:row>2</xdr:row>
      <xdr:rowOff>30691</xdr:rowOff>
    </xdr:from>
    <xdr:to>
      <xdr:col>35</xdr:col>
      <xdr:colOff>295011</xdr:colOff>
      <xdr:row>16</xdr:row>
      <xdr:rowOff>180975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6541FDC-6DC2-2B59-3773-317795491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201082</xdr:colOff>
      <xdr:row>0</xdr:row>
      <xdr:rowOff>176211</xdr:rowOff>
    </xdr:from>
    <xdr:to>
      <xdr:col>20</xdr:col>
      <xdr:colOff>132291</xdr:colOff>
      <xdr:row>31</xdr:row>
      <xdr:rowOff>185208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9F7B4F7-0BDB-C289-A18B-4BCD01B92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10</xdr:col>
      <xdr:colOff>529165</xdr:colOff>
      <xdr:row>2</xdr:row>
      <xdr:rowOff>158750</xdr:rowOff>
    </xdr:from>
    <xdr:to>
      <xdr:col>13</xdr:col>
      <xdr:colOff>198436</xdr:colOff>
      <xdr:row>4</xdr:row>
      <xdr:rowOff>52917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E27C550-1682-51CF-2C15-A49C164B8C88}"/>
            </a:ext>
          </a:extLst>
        </xdr:cNvPr>
        <xdr:cNvSpPr txBox="1"/>
      </xdr:nvSpPr>
      <xdr:spPr>
        <a:xfrm>
          <a:off x="11138957" y="529167"/>
          <a:ext cx="1891771" cy="264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tx1"/>
              </a:solidFill>
            </a:rPr>
            <a:t>bands = standar</a:t>
          </a:r>
          <a:r>
            <a:rPr lang="en-US" sz="1200" baseline="0">
              <a:solidFill>
                <a:schemeClr val="tx1"/>
              </a:solidFill>
            </a:rPr>
            <a:t>d deviation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0</xdr:colOff>
      <xdr:row>52</xdr:row>
      <xdr:rowOff>13229</xdr:rowOff>
    </xdr:from>
    <xdr:to>
      <xdr:col>18</xdr:col>
      <xdr:colOff>132292</xdr:colOff>
      <xdr:row>74</xdr:row>
      <xdr:rowOff>171978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6C26145F-D46F-D44F-AB0D-367CDB61C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18</xdr:col>
      <xdr:colOff>277812</xdr:colOff>
      <xdr:row>36</xdr:row>
      <xdr:rowOff>171980</xdr:rowOff>
    </xdr:from>
    <xdr:to>
      <xdr:col>28</xdr:col>
      <xdr:colOff>172322</xdr:colOff>
      <xdr:row>91</xdr:row>
      <xdr:rowOff>43922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9F7FFED-BFF7-DD4D-5510-9252AB383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367500" y="6839480"/>
          <a:ext cx="7302843" cy="10058400"/>
        </a:xfrm>
        <a:prstGeom prst="rect">
          <a:avLst/>
        </a:prstGeom>
      </xdr:spPr>
    </xdr:pic>
    <xdr:clientData/>
  </xdr:twoCellAnchor>
  <xdr:twoCellAnchor>
    <xdr:from>
      <xdr:col>10</xdr:col>
      <xdr:colOff>79374</xdr:colOff>
      <xdr:row>76</xdr:row>
      <xdr:rowOff>0</xdr:rowOff>
    </xdr:from>
    <xdr:to>
      <xdr:col>15</xdr:col>
      <xdr:colOff>701146</xdr:colOff>
      <xdr:row>94</xdr:row>
      <xdr:rowOff>52917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A57DA4D-213F-D84B-9C98-3FDCB7B20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10</xdr:col>
      <xdr:colOff>0</xdr:colOff>
      <xdr:row>95</xdr:row>
      <xdr:rowOff>0</xdr:rowOff>
    </xdr:from>
    <xdr:to>
      <xdr:col>15</xdr:col>
      <xdr:colOff>621772</xdr:colOff>
      <xdr:row>113</xdr:row>
      <xdr:rowOff>52917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2152EED-DD02-D344-A428-48E1C8322B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0.08464</cdr:x>
      <cdr:y>0.05887</cdr:y>
    </cdr:from>
    <cdr:to>
      <cdr:x>0.434</cdr:x>
      <cdr:y>0.12137</cdr:y>
    </cdr:to>
    <cdr:sp macro="" textlink="">
      <cdr:nvSpPr>
        <cdr:cNvPr id="2" name="TextBox 20">
          <a:extLst xmlns:a="http://schemas.openxmlformats.org/drawingml/2006/main">
            <a:ext uri="{FF2B5EF4-FFF2-40B4-BE49-F238E27FC236}">
              <a16:creationId xmlns:a16="http://schemas.microsoft.com/office/drawing/2014/main" id="{2E27C550-1682-51CF-2C15-A49C164B8C88}"/>
            </a:ext>
          </a:extLst>
        </cdr:cNvPr>
        <cdr:cNvSpPr txBox="1"/>
      </cdr:nvSpPr>
      <cdr:spPr>
        <a:xfrm xmlns:a="http://schemas.openxmlformats.org/drawingml/2006/main">
          <a:off x="791634" y="249237"/>
          <a:ext cx="3267604" cy="26458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>
              <a:solidFill>
                <a:schemeClr val="tx1"/>
              </a:solidFill>
            </a:rPr>
            <a:t>bands = standar</a:t>
          </a:r>
          <a:r>
            <a:rPr lang="en-US" sz="1200" baseline="0">
              <a:solidFill>
                <a:schemeClr val="tx1"/>
              </a:solidFill>
            </a:rPr>
            <a:t>d deviation</a:t>
          </a:r>
          <a:endParaRPr lang="en-US" sz="1200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297815</xdr:colOff>
      <xdr:row>18</xdr:row>
      <xdr:rowOff>12065</xdr:rowOff>
    </xdr:to>
    <xdr:pic>
      <xdr:nvPicPr>
        <xdr:cNvPr id="2" name="Picture 1" descr="A screenshot of a computer&#10;&#10;Description automatically generated with low confidence">
          <a:extLst>
            <a:ext uri="{FF2B5EF4-FFF2-40B4-BE49-F238E27FC236}">
              <a16:creationId xmlns:a16="http://schemas.microsoft.com/office/drawing/2014/main" id="{6851ADD9-268F-BC98-715D-E2F2D9A19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599815" cy="34410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3</xdr:row>
      <xdr:rowOff>0</xdr:rowOff>
    </xdr:from>
    <xdr:to>
      <xdr:col>14</xdr:col>
      <xdr:colOff>12700</xdr:colOff>
      <xdr:row>22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24CBBB-4A2C-4CC0-92C6-BC684D568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28</xdr:row>
      <xdr:rowOff>130326</xdr:rowOff>
    </xdr:from>
    <xdr:to>
      <xdr:col>4</xdr:col>
      <xdr:colOff>772432</xdr:colOff>
      <xdr:row>46</xdr:row>
      <xdr:rowOff>119742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84BFE5-EF71-4EC0-B9FA-2F2A964E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24147"/>
          <a:ext cx="4459968" cy="3173488"/>
        </a:xfrm>
        <a:prstGeom prst="rect">
          <a:avLst/>
        </a:prstGeom>
      </xdr:spPr>
    </xdr:pic>
    <xdr:clientData/>
  </xdr:twoCellAnchor>
  <xdr:twoCellAnchor>
    <xdr:from>
      <xdr:col>14</xdr:col>
      <xdr:colOff>232832</xdr:colOff>
      <xdr:row>35</xdr:row>
      <xdr:rowOff>162984</xdr:rowOff>
    </xdr:from>
    <xdr:to>
      <xdr:col>20</xdr:col>
      <xdr:colOff>21165</xdr:colOff>
      <xdr:row>50</xdr:row>
      <xdr:rowOff>10584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4F6E02-EA6A-4561-936C-0EE53573B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C2DA93-08ED-9144-9CAE-A1075AC41834}" name="Table1" displayName="Table1" ref="A3:I16" totalsRowShown="0">
  <autoFilter ref="A3:I16" xr:uid="{C9C2DA93-08ED-9144-9CAE-A1075AC41834}"/>
  <sortState xmlns:xlrd2="http://schemas.microsoft.com/office/spreadsheetml/2017/richdata2" ref="A4:I16">
    <sortCondition ref="A3:A16"/>
  </sortState>
  <tableColumns count="9">
    <tableColumn id="1" xr3:uid="{9BDAB6AC-10E5-854A-BEA1-AFB99E65FB6B}" name="Puanui Site"/>
    <tableColumn id="2" xr3:uid="{83AA30AA-804B-BF47-8BA5-3156429D2DF3}" name="Avg ORP (mv)" dataDxfId="15"/>
    <tableColumn id="3" xr3:uid="{65D14213-2AF5-DB4B-8220-988BBBEC31AE}" name="Avg Temp (°C)" dataDxfId="14"/>
    <tableColumn id="4" xr3:uid="{3C15F9D0-7769-BA4B-9DDE-670FC33DECEC}" name="Potential/SHE (mV)" dataDxfId="13">
      <calculatedColumnFormula>B4+((-0.7286*C4)+227.21)</calculatedColumnFormula>
    </tableColumn>
    <tableColumn id="5" xr3:uid="{604FCB9F-B782-114B-9654-6785A981C1A8}" name="SHE CV" dataDxfId="12"/>
    <tableColumn id="6" xr3:uid="{6B5CB237-546D-D841-A16C-13751BEB42C0}" name="SHE StDev" dataDxfId="11"/>
    <tableColumn id="7" xr3:uid="{4DC8AA6D-C89F-8B4B-B3DC-1B916662C696}" name="SD upper" dataDxfId="10">
      <calculatedColumnFormula>D4+F4</calculatedColumnFormula>
    </tableColumn>
    <tableColumn id="8" xr3:uid="{1179E506-C3F2-E545-A71D-23CA0734F800}" name="SD lower" dataDxfId="9">
      <calculatedColumnFormula>D4-F4</calculatedColumnFormula>
    </tableColumn>
    <tableColumn id="9" xr3:uid="{F05BE95F-D0F9-3442-BAFC-E65B47044F56}" name="MAP (mm/y)" dataDxfId="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28D3A0-62EB-2948-951E-BD9F10DCF27D}" name="Table13" displayName="Table13" ref="J38:R51" totalsRowShown="0">
  <autoFilter ref="J38:R51" xr:uid="{6628D3A0-62EB-2948-951E-BD9F10DCF27D}"/>
  <sortState xmlns:xlrd2="http://schemas.microsoft.com/office/spreadsheetml/2017/richdata2" ref="J39:R51">
    <sortCondition descending="1" ref="J38:J51"/>
  </sortState>
  <tableColumns count="9">
    <tableColumn id="1" xr3:uid="{6EE02183-06BE-F643-81C0-5BEF80DCC2DE}" name="Puanui Site"/>
    <tableColumn id="2" xr3:uid="{A375C572-91FE-5C43-BA74-AEB47B8F98C4}" name="Avg ORP (mv)" dataDxfId="7"/>
    <tableColumn id="3" xr3:uid="{C6A15FB1-9994-6448-8897-C08608FC5361}" name="Avg Temp (°C)" dataDxfId="6"/>
    <tableColumn id="4" xr3:uid="{7154AA83-C62A-0544-982C-F99AEA19BD81}" name="Potential/SHE (mV)" dataDxfId="5">
      <calculatedColumnFormula>K39-(0.198*(L39-25))+SQRT(50301-(297*L39))</calculatedColumnFormula>
    </tableColumn>
    <tableColumn id="5" xr3:uid="{BAA5F808-F7E3-A544-8BCA-5DB7EEBB3D05}" name="SHE CV" dataDxfId="4"/>
    <tableColumn id="6" xr3:uid="{BE080E86-3495-ED49-A969-31FAEC779A18}" name="SHE StDev" dataDxfId="3"/>
    <tableColumn id="7" xr3:uid="{209C6F17-98A3-634A-94E0-E548B51099F4}" name="SD upper" dataDxfId="2">
      <calculatedColumnFormula>M39+O39</calculatedColumnFormula>
    </tableColumn>
    <tableColumn id="8" xr3:uid="{4C589D2B-A6D5-ED41-84C5-0F71108F4200}" name="SD lower" dataDxfId="1">
      <calculatedColumnFormula>M39-O39</calculatedColumnFormula>
    </tableColumn>
    <tableColumn id="9" xr3:uid="{9F90B06C-1BC1-D442-917E-07CDD6F5B134}" name="MAP (mm/y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wolkersdorfer.info/en/redoxprobes.html" TargetMode="Externa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www.wolkersdorfer.info/en/redoxprobes.html" TargetMode="External"/><Relationship Id="rId1" Type="http://schemas.openxmlformats.org/officeDocument/2006/relationships/hyperlink" Target="https://www.wolkersdorfer.info/en/redoxprobes.html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F79AF-41D4-4C72-81C5-C3A283E408A2}">
  <dimension ref="A1:R1007"/>
  <sheetViews>
    <sheetView tabSelected="1" topLeftCell="H79" zoomScale="96" zoomScaleNormal="96" zoomScaleSheetLayoutView="50" workbookViewId="0">
      <selection activeCell="I86" sqref="I86"/>
    </sheetView>
  </sheetViews>
  <sheetFormatPr baseColWidth="10" defaultColWidth="9.6640625" defaultRowHeight="15" x14ac:dyDescent="0.2"/>
  <cols>
    <col min="1" max="1" width="12.33203125" customWidth="1"/>
    <col min="2" max="2" width="14.83203125" customWidth="1"/>
    <col min="3" max="3" width="14" customWidth="1"/>
    <col min="4" max="4" width="18.33203125" customWidth="1"/>
    <col min="5" max="5" width="15.1640625" customWidth="1"/>
    <col min="6" max="6" width="14.5" customWidth="1"/>
    <col min="7" max="7" width="11.83203125" customWidth="1"/>
    <col min="8" max="8" width="15.33203125" customWidth="1"/>
    <col min="9" max="9" width="13.1640625" customWidth="1"/>
    <col min="10" max="10" width="11.83203125" customWidth="1"/>
    <col min="11" max="11" width="13.33203125" customWidth="1"/>
    <col min="12" max="12" width="14.5" customWidth="1"/>
    <col min="13" max="13" width="19.33203125" customWidth="1"/>
    <col min="14" max="14" width="11.83203125" customWidth="1"/>
    <col min="15" max="15" width="12.83203125" customWidth="1"/>
    <col min="16" max="17" width="12.1640625" customWidth="1"/>
    <col min="18" max="18" width="13" customWidth="1"/>
  </cols>
  <sheetData>
    <row r="1" spans="1:9" x14ac:dyDescent="0.2">
      <c r="A1" t="s">
        <v>0</v>
      </c>
    </row>
    <row r="3" spans="1:9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46</v>
      </c>
      <c r="H3" t="s">
        <v>47</v>
      </c>
      <c r="I3" t="s">
        <v>7</v>
      </c>
    </row>
    <row r="4" spans="1:9" x14ac:dyDescent="0.2">
      <c r="A4">
        <v>1</v>
      </c>
      <c r="B4" s="1">
        <v>142.45244755451523</v>
      </c>
      <c r="C4" s="2">
        <v>32.222222222222221</v>
      </c>
      <c r="D4" s="2">
        <f>B4+((-0.7286*C4)+227.21)</f>
        <v>346.18533644340414</v>
      </c>
      <c r="E4" s="3">
        <v>0.25939219141660447</v>
      </c>
      <c r="F4" s="3">
        <v>0.89797773056349117</v>
      </c>
      <c r="G4" s="1">
        <f t="shared" ref="G4:G16" si="0">D4+F4</f>
        <v>347.08331417396761</v>
      </c>
      <c r="H4" s="1">
        <f t="shared" ref="H4:H16" si="1">D4-F4</f>
        <v>345.28735871284067</v>
      </c>
      <c r="I4" s="4">
        <v>3237.9897460900002</v>
      </c>
    </row>
    <row r="5" spans="1:9" x14ac:dyDescent="0.2">
      <c r="A5">
        <v>6</v>
      </c>
      <c r="B5" s="1">
        <v>-214.12</v>
      </c>
      <c r="C5" s="2">
        <v>33.888888888888886</v>
      </c>
      <c r="D5" s="2">
        <f t="shared" ref="D5:D16" si="2">B5+((-0.7286*C5)+227.21)</f>
        <v>-11.601444444444439</v>
      </c>
      <c r="E5" s="3">
        <v>-1844.5261307478311</v>
      </c>
      <c r="F5" s="3">
        <v>23.560775185064617</v>
      </c>
      <c r="G5" s="1">
        <f t="shared" si="0"/>
        <v>11.959330740620178</v>
      </c>
      <c r="H5" s="1">
        <f t="shared" si="1"/>
        <v>-35.162219629509053</v>
      </c>
      <c r="I5" s="4">
        <v>2686</v>
      </c>
    </row>
    <row r="6" spans="1:9" x14ac:dyDescent="0.2">
      <c r="A6">
        <v>13</v>
      </c>
      <c r="B6" s="1">
        <v>89.83</v>
      </c>
      <c r="C6" s="2">
        <v>33.888888888888886</v>
      </c>
      <c r="D6" s="2">
        <f t="shared" si="2"/>
        <v>292.34855555555555</v>
      </c>
      <c r="E6" s="3">
        <v>1.6433159592771363</v>
      </c>
      <c r="F6" s="3">
        <v>4.8136876758983762</v>
      </c>
      <c r="G6" s="1">
        <f t="shared" si="0"/>
        <v>297.16224323145394</v>
      </c>
      <c r="H6" s="1">
        <f t="shared" si="1"/>
        <v>287.53486787965716</v>
      </c>
      <c r="I6" s="4">
        <v>2122.2141113299999</v>
      </c>
    </row>
    <row r="7" spans="1:9" x14ac:dyDescent="0.2">
      <c r="A7">
        <v>16</v>
      </c>
      <c r="B7" s="1">
        <v>17.736000000000001</v>
      </c>
      <c r="C7" s="2">
        <v>31.666666666666668</v>
      </c>
      <c r="D7" s="2">
        <f t="shared" si="2"/>
        <v>221.87366666666665</v>
      </c>
      <c r="E7" s="3">
        <v>9.8732144893388973</v>
      </c>
      <c r="F7" s="3">
        <v>22.379133343884515</v>
      </c>
      <c r="G7" s="1">
        <f t="shared" si="0"/>
        <v>244.25280001055117</v>
      </c>
      <c r="H7" s="1">
        <f t="shared" si="1"/>
        <v>199.49453332278213</v>
      </c>
      <c r="I7" s="4">
        <v>1807.7528076200001</v>
      </c>
    </row>
    <row r="8" spans="1:9" x14ac:dyDescent="0.2">
      <c r="A8">
        <v>20</v>
      </c>
      <c r="B8" s="1">
        <v>6.931</v>
      </c>
      <c r="C8" s="2">
        <v>30</v>
      </c>
      <c r="D8" s="2">
        <f t="shared" si="2"/>
        <v>212.28300000000002</v>
      </c>
      <c r="E8" s="3">
        <v>1.1708932094408797</v>
      </c>
      <c r="F8" s="3">
        <v>1.1708932094408797</v>
      </c>
      <c r="G8" s="1">
        <f t="shared" si="0"/>
        <v>213.45389320944091</v>
      </c>
      <c r="H8" s="1">
        <f t="shared" si="1"/>
        <v>211.11210679055912</v>
      </c>
      <c r="I8" s="4">
        <v>1526.9757080100001</v>
      </c>
    </row>
    <row r="9" spans="1:9" x14ac:dyDescent="0.2">
      <c r="A9">
        <v>23</v>
      </c>
      <c r="B9" s="1">
        <v>4.8099999999999996</v>
      </c>
      <c r="C9" s="2">
        <v>32.222222222222221</v>
      </c>
      <c r="D9" s="2">
        <f t="shared" si="2"/>
        <v>208.54288888888891</v>
      </c>
      <c r="E9" s="3">
        <v>1.3084027317752405</v>
      </c>
      <c r="F9" s="3">
        <v>2.7333045474734368</v>
      </c>
      <c r="G9" s="1">
        <f t="shared" si="0"/>
        <v>211.27619343636235</v>
      </c>
      <c r="H9" s="1">
        <f t="shared" si="1"/>
        <v>205.80958434141547</v>
      </c>
      <c r="I9" s="4">
        <v>1289.3337402300001</v>
      </c>
    </row>
    <row r="10" spans="1:9" x14ac:dyDescent="0.2">
      <c r="A10">
        <v>26</v>
      </c>
      <c r="B10" s="1">
        <v>4.2389999999999999</v>
      </c>
      <c r="C10" s="2">
        <v>32.222222222222221</v>
      </c>
      <c r="D10" s="2">
        <f t="shared" si="2"/>
        <v>207.97188888888891</v>
      </c>
      <c r="E10" s="3">
        <v>0.31687653314296982</v>
      </c>
      <c r="F10" s="3">
        <v>0.65975586295708044</v>
      </c>
      <c r="G10" s="1">
        <f t="shared" si="0"/>
        <v>208.63164475184598</v>
      </c>
      <c r="H10" s="1">
        <f t="shared" si="1"/>
        <v>207.31213302593184</v>
      </c>
      <c r="I10" s="4">
        <v>1113.4626464800001</v>
      </c>
    </row>
    <row r="11" spans="1:9" x14ac:dyDescent="0.2">
      <c r="A11">
        <v>30</v>
      </c>
      <c r="B11" s="1">
        <v>0.61199999999999999</v>
      </c>
      <c r="C11" s="2">
        <v>28.611111111111107</v>
      </c>
      <c r="D11" s="2">
        <f t="shared" si="2"/>
        <v>206.97594444444445</v>
      </c>
      <c r="E11" s="3">
        <v>7.6553962610250159E-2</v>
      </c>
      <c r="F11" s="3">
        <v>0.15840064538904253</v>
      </c>
      <c r="G11" s="1">
        <f t="shared" si="0"/>
        <v>207.13434508983349</v>
      </c>
      <c r="H11" s="1">
        <f t="shared" si="1"/>
        <v>206.81754379905541</v>
      </c>
      <c r="I11" s="4">
        <v>887.72674560500002</v>
      </c>
    </row>
    <row r="12" spans="1:9" x14ac:dyDescent="0.2">
      <c r="A12">
        <v>33</v>
      </c>
      <c r="B12" s="1">
        <v>0</v>
      </c>
      <c r="C12" s="2">
        <v>27.777777777777779</v>
      </c>
      <c r="D12" s="2">
        <f t="shared" si="2"/>
        <v>206.97111111111113</v>
      </c>
      <c r="E12" s="3">
        <v>1.5640876246198769E-3</v>
      </c>
      <c r="F12" s="3">
        <v>3.237198179722471E-3</v>
      </c>
      <c r="G12" s="1">
        <f t="shared" si="0"/>
        <v>206.97434830929086</v>
      </c>
      <c r="H12" s="1">
        <f t="shared" si="1"/>
        <v>206.9678739129314</v>
      </c>
      <c r="I12" s="4">
        <v>698</v>
      </c>
    </row>
    <row r="13" spans="1:9" x14ac:dyDescent="0.2">
      <c r="A13">
        <v>36</v>
      </c>
      <c r="B13" s="1">
        <v>1.71111694386694</v>
      </c>
      <c r="C13" s="2">
        <v>33.055555555555557</v>
      </c>
      <c r="D13" s="2">
        <f t="shared" si="2"/>
        <v>204.83683916608916</v>
      </c>
      <c r="E13" s="3">
        <v>0.15796014111240628</v>
      </c>
      <c r="F13" s="3">
        <v>0.32352789878905419</v>
      </c>
      <c r="G13" s="1">
        <f t="shared" si="0"/>
        <v>205.16036706487822</v>
      </c>
      <c r="H13" s="1">
        <f t="shared" si="1"/>
        <v>204.51331126730011</v>
      </c>
      <c r="I13" s="4">
        <v>584</v>
      </c>
    </row>
    <row r="14" spans="1:9" x14ac:dyDescent="0.2">
      <c r="A14">
        <v>40</v>
      </c>
      <c r="B14" s="1">
        <v>0</v>
      </c>
      <c r="C14" s="2">
        <v>31.388888888888886</v>
      </c>
      <c r="D14" s="2">
        <f t="shared" si="2"/>
        <v>204.34005555555558</v>
      </c>
      <c r="E14" s="3">
        <v>2.0715723293900781</v>
      </c>
      <c r="F14" s="3">
        <v>4.2674847024110143</v>
      </c>
      <c r="G14" s="1">
        <f t="shared" si="0"/>
        <v>208.6075402579666</v>
      </c>
      <c r="H14" s="1">
        <f t="shared" si="1"/>
        <v>200.07257085314455</v>
      </c>
      <c r="I14" s="4">
        <v>396.48348999000001</v>
      </c>
    </row>
    <row r="15" spans="1:9" x14ac:dyDescent="0.2">
      <c r="A15">
        <v>43</v>
      </c>
      <c r="B15" s="1">
        <v>0.01</v>
      </c>
      <c r="C15" s="2">
        <v>34.166666666666664</v>
      </c>
      <c r="D15" s="2">
        <f>B15+((-0.7286*C15)+227.21)</f>
        <v>202.32616666666667</v>
      </c>
      <c r="E15" s="3">
        <v>3.5802072140250054E-3</v>
      </c>
      <c r="F15" s="3">
        <v>7.2437975358045428E-3</v>
      </c>
      <c r="G15" s="1">
        <f t="shared" si="0"/>
        <v>202.33341046420247</v>
      </c>
      <c r="H15" s="1">
        <f t="shared" si="1"/>
        <v>202.31892286913086</v>
      </c>
      <c r="I15" s="4">
        <v>316</v>
      </c>
    </row>
    <row r="16" spans="1:9" x14ac:dyDescent="0.2">
      <c r="A16">
        <v>46</v>
      </c>
      <c r="B16" s="1">
        <v>0.43217832409972301</v>
      </c>
      <c r="C16" s="2">
        <v>33.611111111111114</v>
      </c>
      <c r="D16" s="2">
        <f t="shared" si="2"/>
        <v>203.15312276854416</v>
      </c>
      <c r="E16" s="3">
        <v>5.8747556007252205E-2</v>
      </c>
      <c r="F16" s="3">
        <v>0.11935413481852572</v>
      </c>
      <c r="G16" s="1">
        <f t="shared" si="0"/>
        <v>203.2724769033627</v>
      </c>
      <c r="H16" s="1">
        <f t="shared" si="1"/>
        <v>203.03376863372563</v>
      </c>
      <c r="I16" s="4">
        <v>294.68939209000001</v>
      </c>
    </row>
    <row r="21" spans="1:9" x14ac:dyDescent="0.2">
      <c r="A21" t="s">
        <v>8</v>
      </c>
    </row>
    <row r="22" spans="1:9" x14ac:dyDescent="0.2">
      <c r="A22" t="s">
        <v>9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 t="s">
        <v>15</v>
      </c>
      <c r="H22" t="s">
        <v>16</v>
      </c>
      <c r="I22" t="s">
        <v>53</v>
      </c>
    </row>
    <row r="23" spans="1:9" x14ac:dyDescent="0.2">
      <c r="A23">
        <v>20</v>
      </c>
      <c r="B23">
        <f>A23*10</f>
        <v>200</v>
      </c>
      <c r="C23" s="5">
        <v>140.012472279972</v>
      </c>
      <c r="D23" s="2">
        <f>C23+((-0.7286*$C$4)+227.21)</f>
        <v>343.74536116886088</v>
      </c>
      <c r="E23" s="2">
        <f>AVERAGE(D23:D95)</f>
        <v>346.1853364434042</v>
      </c>
      <c r="F23" s="2">
        <f>AVERAGE(C23:C95)</f>
        <v>142.45244755451523</v>
      </c>
      <c r="G23">
        <f>_xlfn.STDEV.S(D23:D95)</f>
        <v>0.89797773056349117</v>
      </c>
      <c r="H23">
        <f>G23/E23*100</f>
        <v>0.25939219141660447</v>
      </c>
      <c r="I23">
        <f>COUNT(D23:D95)</f>
        <v>73</v>
      </c>
    </row>
    <row r="24" spans="1:9" x14ac:dyDescent="0.2">
      <c r="A24">
        <v>21</v>
      </c>
      <c r="B24">
        <f t="shared" ref="B24:B87" si="3">A24*10</f>
        <v>210</v>
      </c>
      <c r="C24" s="5">
        <v>140.06210006925198</v>
      </c>
      <c r="D24" s="2">
        <f t="shared" ref="D24:D87" si="4">C24+((-0.7286*$C$4)+227.21)</f>
        <v>343.79498895814089</v>
      </c>
    </row>
    <row r="25" spans="1:9" x14ac:dyDescent="0.2">
      <c r="A25">
        <v>22</v>
      </c>
      <c r="B25">
        <f t="shared" si="3"/>
        <v>220</v>
      </c>
      <c r="C25" s="5">
        <v>140.28937976437999</v>
      </c>
      <c r="D25" s="2">
        <f t="shared" si="4"/>
        <v>344.0222686532689</v>
      </c>
    </row>
    <row r="26" spans="1:9" x14ac:dyDescent="0.2">
      <c r="A26">
        <v>23</v>
      </c>
      <c r="B26">
        <f t="shared" si="3"/>
        <v>230</v>
      </c>
      <c r="C26" s="5">
        <v>140.762084199584</v>
      </c>
      <c r="D26" s="2">
        <f t="shared" si="4"/>
        <v>344.49497308847288</v>
      </c>
    </row>
    <row r="27" spans="1:9" x14ac:dyDescent="0.2">
      <c r="A27">
        <v>24</v>
      </c>
      <c r="B27">
        <f t="shared" si="3"/>
        <v>240</v>
      </c>
      <c r="C27" s="5">
        <v>141.29811330561301</v>
      </c>
      <c r="D27" s="2">
        <f t="shared" si="4"/>
        <v>345.03100219450192</v>
      </c>
    </row>
    <row r="28" spans="1:9" x14ac:dyDescent="0.2">
      <c r="A28">
        <v>25</v>
      </c>
      <c r="B28">
        <f t="shared" si="3"/>
        <v>250</v>
      </c>
      <c r="C28" s="5">
        <v>142.103483379501</v>
      </c>
      <c r="D28" s="2">
        <f t="shared" si="4"/>
        <v>345.83637226838994</v>
      </c>
    </row>
    <row r="29" spans="1:9" x14ac:dyDescent="0.2">
      <c r="A29">
        <v>26</v>
      </c>
      <c r="B29">
        <f t="shared" si="3"/>
        <v>260</v>
      </c>
      <c r="C29" s="5">
        <v>142.874861399861</v>
      </c>
      <c r="D29" s="2">
        <f t="shared" si="4"/>
        <v>346.60775028874991</v>
      </c>
    </row>
    <row r="30" spans="1:9" x14ac:dyDescent="0.2">
      <c r="A30">
        <v>27</v>
      </c>
      <c r="B30">
        <f t="shared" si="3"/>
        <v>270</v>
      </c>
      <c r="C30" s="5">
        <v>143.01619196119199</v>
      </c>
      <c r="D30" s="2">
        <f t="shared" si="4"/>
        <v>346.74908085008087</v>
      </c>
    </row>
    <row r="31" spans="1:9" x14ac:dyDescent="0.2">
      <c r="A31">
        <v>28</v>
      </c>
      <c r="B31">
        <f t="shared" si="3"/>
        <v>280</v>
      </c>
      <c r="C31" s="5">
        <v>143.05067693905801</v>
      </c>
      <c r="D31" s="2">
        <f t="shared" si="4"/>
        <v>346.78356582794692</v>
      </c>
    </row>
    <row r="32" spans="1:9" x14ac:dyDescent="0.2">
      <c r="A32">
        <v>29</v>
      </c>
      <c r="B32">
        <f t="shared" si="3"/>
        <v>290</v>
      </c>
      <c r="C32" s="5">
        <v>143.02298856548902</v>
      </c>
      <c r="D32" s="2">
        <f t="shared" si="4"/>
        <v>346.75587745437792</v>
      </c>
    </row>
    <row r="33" spans="1:18" x14ac:dyDescent="0.2">
      <c r="A33">
        <v>30</v>
      </c>
      <c r="B33">
        <f t="shared" si="3"/>
        <v>300</v>
      </c>
      <c r="C33" s="5">
        <v>143.06902979903001</v>
      </c>
      <c r="D33" s="2">
        <f t="shared" si="4"/>
        <v>346.80191868791894</v>
      </c>
    </row>
    <row r="34" spans="1:18" x14ac:dyDescent="0.2">
      <c r="A34">
        <v>31</v>
      </c>
      <c r="B34">
        <f t="shared" si="3"/>
        <v>310</v>
      </c>
      <c r="C34" s="5">
        <v>143.11472799722799</v>
      </c>
      <c r="D34" s="2">
        <f t="shared" si="4"/>
        <v>346.8476168861169</v>
      </c>
    </row>
    <row r="35" spans="1:18" x14ac:dyDescent="0.2">
      <c r="A35">
        <v>32</v>
      </c>
      <c r="B35">
        <f t="shared" si="3"/>
        <v>320</v>
      </c>
      <c r="C35" s="5">
        <v>143.03399065097</v>
      </c>
      <c r="D35" s="2">
        <f t="shared" si="4"/>
        <v>346.76687953985891</v>
      </c>
    </row>
    <row r="36" spans="1:18" x14ac:dyDescent="0.2">
      <c r="A36">
        <v>33</v>
      </c>
      <c r="B36">
        <f t="shared" si="3"/>
        <v>330</v>
      </c>
      <c r="C36" s="5">
        <v>142.95721240471198</v>
      </c>
      <c r="D36" s="2">
        <f t="shared" si="4"/>
        <v>346.69010129360089</v>
      </c>
      <c r="J36" t="s">
        <v>49</v>
      </c>
    </row>
    <row r="37" spans="1:18" x14ac:dyDescent="0.2">
      <c r="A37">
        <v>34</v>
      </c>
      <c r="B37">
        <f t="shared" si="3"/>
        <v>340</v>
      </c>
      <c r="C37" s="5">
        <v>142.727318087318</v>
      </c>
      <c r="D37" s="2">
        <f t="shared" si="4"/>
        <v>346.4602069762069</v>
      </c>
      <c r="J37" s="9" t="s">
        <v>41</v>
      </c>
      <c r="N37" t="s">
        <v>48</v>
      </c>
    </row>
    <row r="38" spans="1:18" x14ac:dyDescent="0.2">
      <c r="A38">
        <v>35</v>
      </c>
      <c r="B38">
        <f t="shared" si="3"/>
        <v>350</v>
      </c>
      <c r="C38" s="5">
        <v>142.47436114958401</v>
      </c>
      <c r="D38" s="2">
        <f t="shared" si="4"/>
        <v>346.20725003847292</v>
      </c>
      <c r="J38" t="s">
        <v>1</v>
      </c>
      <c r="K38" t="s">
        <v>2</v>
      </c>
      <c r="L38" t="s">
        <v>3</v>
      </c>
      <c r="M38" t="s">
        <v>4</v>
      </c>
      <c r="N38" t="s">
        <v>5</v>
      </c>
      <c r="O38" t="s">
        <v>6</v>
      </c>
      <c r="P38" t="s">
        <v>46</v>
      </c>
      <c r="Q38" t="s">
        <v>47</v>
      </c>
      <c r="R38" t="s">
        <v>7</v>
      </c>
    </row>
    <row r="39" spans="1:18" x14ac:dyDescent="0.2">
      <c r="A39">
        <v>36</v>
      </c>
      <c r="B39">
        <f t="shared" si="3"/>
        <v>360</v>
      </c>
      <c r="C39" s="5">
        <v>142.40686417186399</v>
      </c>
      <c r="D39" s="2">
        <f t="shared" si="4"/>
        <v>346.13975306075292</v>
      </c>
      <c r="J39">
        <v>46</v>
      </c>
      <c r="K39" s="1">
        <v>0.43217832409972301</v>
      </c>
      <c r="L39" s="2">
        <v>33.611111111111114</v>
      </c>
      <c r="M39" s="2">
        <f t="shared" ref="M39:M51" si="5">K39-(0.198*(L39-25))+SQRT(50301-(297*L39))</f>
        <v>199.52184956813448</v>
      </c>
      <c r="N39" s="3">
        <v>5.8747556007252205E-2</v>
      </c>
      <c r="O39" s="3">
        <v>0.11935413481852572</v>
      </c>
      <c r="P39" s="1">
        <f t="shared" ref="P39:P51" si="6">M39+O39</f>
        <v>199.64120370295302</v>
      </c>
      <c r="Q39" s="1">
        <f t="shared" ref="Q39:Q51" si="7">M39-O39</f>
        <v>199.40249543331595</v>
      </c>
      <c r="R39" s="4">
        <v>294.68939209000001</v>
      </c>
    </row>
    <row r="40" spans="1:18" x14ac:dyDescent="0.2">
      <c r="A40">
        <v>37</v>
      </c>
      <c r="B40">
        <f t="shared" si="3"/>
        <v>370</v>
      </c>
      <c r="C40" s="5">
        <v>142.33962924462901</v>
      </c>
      <c r="D40" s="2">
        <f t="shared" si="4"/>
        <v>346.07251813351792</v>
      </c>
      <c r="J40">
        <v>43</v>
      </c>
      <c r="K40" s="1">
        <v>0.01</v>
      </c>
      <c r="L40" s="2">
        <v>34.166666666666664</v>
      </c>
      <c r="M40" s="2">
        <f t="shared" si="5"/>
        <v>198.57838254456129</v>
      </c>
      <c r="N40" s="3">
        <v>3.5802072140250054E-3</v>
      </c>
      <c r="O40" s="3">
        <v>7.2437975358045428E-3</v>
      </c>
      <c r="P40" s="1">
        <f t="shared" si="6"/>
        <v>198.5856263420971</v>
      </c>
      <c r="Q40" s="1">
        <f t="shared" si="7"/>
        <v>198.57113874702549</v>
      </c>
      <c r="R40" s="4">
        <v>316</v>
      </c>
    </row>
    <row r="41" spans="1:18" x14ac:dyDescent="0.2">
      <c r="A41">
        <v>38</v>
      </c>
      <c r="B41">
        <f t="shared" si="3"/>
        <v>380</v>
      </c>
      <c r="C41" s="5">
        <v>142.40777373527399</v>
      </c>
      <c r="D41" s="2">
        <f t="shared" si="4"/>
        <v>346.14066262416293</v>
      </c>
      <c r="J41">
        <v>40</v>
      </c>
      <c r="K41" s="1">
        <v>0</v>
      </c>
      <c r="L41" s="2">
        <v>31.388888888888886</v>
      </c>
      <c r="M41" s="2">
        <f t="shared" si="5"/>
        <v>201.1664698854899</v>
      </c>
      <c r="N41" s="3">
        <v>2.0715723293900781</v>
      </c>
      <c r="O41" s="3">
        <v>4.2674847024110143</v>
      </c>
      <c r="P41" s="1">
        <f t="shared" si="6"/>
        <v>205.43395458790093</v>
      </c>
      <c r="Q41" s="1">
        <f t="shared" si="7"/>
        <v>196.89898518307888</v>
      </c>
      <c r="R41" s="4">
        <v>396.48348999000001</v>
      </c>
    </row>
    <row r="42" spans="1:18" x14ac:dyDescent="0.2">
      <c r="A42">
        <v>39</v>
      </c>
      <c r="B42">
        <f t="shared" si="3"/>
        <v>390</v>
      </c>
      <c r="C42" s="5">
        <v>142.44989265927998</v>
      </c>
      <c r="D42" s="2">
        <f t="shared" si="4"/>
        <v>346.18278154816892</v>
      </c>
      <c r="J42">
        <v>36</v>
      </c>
      <c r="K42" s="1">
        <v>1.71111694386694</v>
      </c>
      <c r="L42" s="2">
        <v>33.055555555555557</v>
      </c>
      <c r="M42" s="2">
        <f t="shared" si="5"/>
        <v>201.32123616303591</v>
      </c>
      <c r="N42" s="3">
        <v>0.15796014111240628</v>
      </c>
      <c r="O42" s="3">
        <v>0.32352789878905419</v>
      </c>
      <c r="P42" s="1">
        <f t="shared" si="6"/>
        <v>201.64476406182496</v>
      </c>
      <c r="Q42" s="1">
        <f t="shared" si="7"/>
        <v>200.99770826424685</v>
      </c>
      <c r="R42" s="4">
        <v>584</v>
      </c>
    </row>
    <row r="43" spans="1:18" x14ac:dyDescent="0.2">
      <c r="A43">
        <v>40</v>
      </c>
      <c r="B43">
        <f t="shared" si="3"/>
        <v>400</v>
      </c>
      <c r="C43" s="5">
        <v>142.53540367290398</v>
      </c>
      <c r="D43" s="2">
        <f t="shared" si="4"/>
        <v>346.26829256179292</v>
      </c>
      <c r="J43">
        <v>33</v>
      </c>
      <c r="K43" s="1">
        <v>0</v>
      </c>
      <c r="L43" s="2">
        <v>27.777777777777779</v>
      </c>
      <c r="M43" s="2">
        <f t="shared" si="5"/>
        <v>204.513404828848</v>
      </c>
      <c r="N43" s="3">
        <v>1.5640876246198769E-3</v>
      </c>
      <c r="O43" s="3">
        <v>3.237198179722471E-3</v>
      </c>
      <c r="P43" s="1">
        <f t="shared" si="6"/>
        <v>204.51664202702773</v>
      </c>
      <c r="Q43" s="1">
        <f t="shared" si="7"/>
        <v>204.51016763066826</v>
      </c>
      <c r="R43" s="4">
        <v>698</v>
      </c>
    </row>
    <row r="44" spans="1:18" x14ac:dyDescent="0.2">
      <c r="A44">
        <v>41</v>
      </c>
      <c r="B44">
        <f t="shared" si="3"/>
        <v>410</v>
      </c>
      <c r="C44" s="5">
        <v>142.58361053361099</v>
      </c>
      <c r="D44" s="2">
        <f t="shared" si="4"/>
        <v>346.31649942249987</v>
      </c>
      <c r="J44">
        <v>30</v>
      </c>
      <c r="K44" s="1">
        <v>0.61199999999999999</v>
      </c>
      <c r="L44" s="2">
        <v>28.611111111111107</v>
      </c>
      <c r="M44" s="2">
        <f t="shared" si="5"/>
        <v>204.35604235323024</v>
      </c>
      <c r="N44" s="3">
        <v>7.6553962610250159E-2</v>
      </c>
      <c r="O44" s="3">
        <v>0.15840064538904253</v>
      </c>
      <c r="P44" s="1">
        <f t="shared" si="6"/>
        <v>204.51444299861927</v>
      </c>
      <c r="Q44" s="1">
        <f t="shared" si="7"/>
        <v>204.1976417078412</v>
      </c>
      <c r="R44" s="4">
        <v>887.72674560500002</v>
      </c>
    </row>
    <row r="45" spans="1:18" x14ac:dyDescent="0.2">
      <c r="A45">
        <v>42</v>
      </c>
      <c r="B45">
        <f t="shared" si="3"/>
        <v>420</v>
      </c>
      <c r="C45" s="5">
        <v>142.805578254848</v>
      </c>
      <c r="D45" s="2">
        <f t="shared" si="4"/>
        <v>346.53846714373691</v>
      </c>
      <c r="J45">
        <v>26</v>
      </c>
      <c r="K45" s="1">
        <v>4.2389999999999999</v>
      </c>
      <c r="L45" s="2">
        <v>32.222222222222221</v>
      </c>
      <c r="M45" s="2">
        <f t="shared" si="5"/>
        <v>204.62822604152458</v>
      </c>
      <c r="N45" s="3">
        <v>0.31687653314296982</v>
      </c>
      <c r="O45" s="3">
        <v>0.65975586295708044</v>
      </c>
      <c r="P45" s="1">
        <f t="shared" si="6"/>
        <v>205.28798190448165</v>
      </c>
      <c r="Q45" s="1">
        <f t="shared" si="7"/>
        <v>203.96847017856751</v>
      </c>
      <c r="R45" s="4">
        <v>1113.4626464800001</v>
      </c>
    </row>
    <row r="46" spans="1:18" x14ac:dyDescent="0.2">
      <c r="A46">
        <v>43</v>
      </c>
      <c r="B46">
        <f t="shared" si="3"/>
        <v>430</v>
      </c>
      <c r="C46" s="5">
        <v>143.09525641025601</v>
      </c>
      <c r="D46" s="2">
        <f t="shared" si="4"/>
        <v>346.82814529914492</v>
      </c>
      <c r="J46">
        <v>23</v>
      </c>
      <c r="K46" s="1">
        <v>4.8099999999999996</v>
      </c>
      <c r="L46" s="2">
        <v>32.222222222222221</v>
      </c>
      <c r="M46" s="2">
        <f t="shared" si="5"/>
        <v>205.19922604152458</v>
      </c>
      <c r="N46" s="3">
        <v>1.3084027317752405</v>
      </c>
      <c r="O46" s="3">
        <v>2.7333045474734368</v>
      </c>
      <c r="P46" s="1">
        <f t="shared" si="6"/>
        <v>207.93253058899802</v>
      </c>
      <c r="Q46" s="1">
        <f t="shared" si="7"/>
        <v>202.46592149405114</v>
      </c>
      <c r="R46" s="4">
        <v>1289.3337402300001</v>
      </c>
    </row>
    <row r="47" spans="1:18" x14ac:dyDescent="0.2">
      <c r="A47">
        <v>44</v>
      </c>
      <c r="B47">
        <f t="shared" si="3"/>
        <v>440</v>
      </c>
      <c r="C47" s="5">
        <v>143.38295218295198</v>
      </c>
      <c r="D47" s="2">
        <f t="shared" si="4"/>
        <v>347.11584107184092</v>
      </c>
      <c r="J47">
        <v>20</v>
      </c>
      <c r="K47" s="1">
        <v>6.931</v>
      </c>
      <c r="L47" s="2">
        <v>30</v>
      </c>
      <c r="M47" s="2">
        <f t="shared" si="5"/>
        <v>209.38878199823168</v>
      </c>
      <c r="N47" s="3">
        <v>1.1708932094408797</v>
      </c>
      <c r="O47" s="3">
        <v>1.1708932094408797</v>
      </c>
      <c r="P47" s="1">
        <f t="shared" si="6"/>
        <v>210.55967520767257</v>
      </c>
      <c r="Q47" s="1">
        <f t="shared" si="7"/>
        <v>208.21788878879079</v>
      </c>
      <c r="R47" s="4">
        <v>1526.9757080100001</v>
      </c>
    </row>
    <row r="48" spans="1:18" x14ac:dyDescent="0.2">
      <c r="A48">
        <v>45</v>
      </c>
      <c r="B48">
        <f t="shared" si="3"/>
        <v>450</v>
      </c>
      <c r="C48" s="5">
        <v>143.514736659737</v>
      </c>
      <c r="D48" s="2">
        <f t="shared" si="4"/>
        <v>347.24762554862593</v>
      </c>
      <c r="J48">
        <v>16</v>
      </c>
      <c r="K48" s="1">
        <v>17.736000000000001</v>
      </c>
      <c r="L48" s="2">
        <v>31.666666666666668</v>
      </c>
      <c r="M48" s="2">
        <f t="shared" si="5"/>
        <v>218.64359455623261</v>
      </c>
      <c r="N48" s="3">
        <v>9.8732144893388973</v>
      </c>
      <c r="O48" s="3">
        <v>22.379133343884515</v>
      </c>
      <c r="P48" s="1">
        <f t="shared" si="6"/>
        <v>241.02272790011713</v>
      </c>
      <c r="Q48" s="1">
        <f t="shared" si="7"/>
        <v>196.2644612123481</v>
      </c>
      <c r="R48" s="4">
        <v>1807.7528076200001</v>
      </c>
    </row>
    <row r="49" spans="1:18" x14ac:dyDescent="0.2">
      <c r="A49">
        <v>46</v>
      </c>
      <c r="B49">
        <f t="shared" si="3"/>
        <v>460</v>
      </c>
      <c r="C49" s="5">
        <v>143.02096260387802</v>
      </c>
      <c r="D49" s="2">
        <f t="shared" si="4"/>
        <v>346.7538514927669</v>
      </c>
      <c r="J49">
        <v>13</v>
      </c>
      <c r="K49" s="1">
        <v>89.83</v>
      </c>
      <c r="L49" s="2">
        <v>33.888888888888886</v>
      </c>
      <c r="M49" s="2">
        <f t="shared" si="5"/>
        <v>288.65913230780973</v>
      </c>
      <c r="N49" s="3">
        <v>1.6433159592771363</v>
      </c>
      <c r="O49" s="3">
        <v>4.8136876758983762</v>
      </c>
      <c r="P49" s="1">
        <f t="shared" si="6"/>
        <v>293.47281998370812</v>
      </c>
      <c r="Q49" s="1">
        <f t="shared" si="7"/>
        <v>283.84544463191133</v>
      </c>
      <c r="R49" s="4">
        <v>2122.2141113299999</v>
      </c>
    </row>
    <row r="50" spans="1:18" x14ac:dyDescent="0.2">
      <c r="A50">
        <v>47</v>
      </c>
      <c r="B50">
        <f t="shared" si="3"/>
        <v>470</v>
      </c>
      <c r="C50" s="5">
        <v>143.73197331947298</v>
      </c>
      <c r="D50" s="2">
        <f t="shared" si="4"/>
        <v>347.46486220836186</v>
      </c>
      <c r="J50">
        <v>6</v>
      </c>
      <c r="K50" s="1">
        <v>-214.12</v>
      </c>
      <c r="L50" s="2">
        <v>33.888888888888886</v>
      </c>
      <c r="M50" s="2">
        <f t="shared" si="5"/>
        <v>-15.290867692190261</v>
      </c>
      <c r="N50" s="3">
        <v>-1844.5261307478311</v>
      </c>
      <c r="O50" s="3">
        <v>23.560775185064617</v>
      </c>
      <c r="P50" s="1">
        <f t="shared" si="6"/>
        <v>8.2699074928743563</v>
      </c>
      <c r="Q50" s="1">
        <f t="shared" si="7"/>
        <v>-38.851642877254875</v>
      </c>
      <c r="R50" s="4">
        <v>2686</v>
      </c>
    </row>
    <row r="51" spans="1:18" x14ac:dyDescent="0.2">
      <c r="A51">
        <v>48</v>
      </c>
      <c r="B51">
        <f t="shared" si="3"/>
        <v>480</v>
      </c>
      <c r="C51" s="5">
        <v>143.66270443520398</v>
      </c>
      <c r="D51" s="2">
        <f t="shared" si="4"/>
        <v>347.39559332409289</v>
      </c>
      <c r="J51">
        <v>1</v>
      </c>
      <c r="K51" s="1">
        <v>142.45244755451523</v>
      </c>
      <c r="L51" s="2">
        <v>32.222222222222221</v>
      </c>
      <c r="M51" s="2">
        <f t="shared" si="5"/>
        <v>342.84167359603981</v>
      </c>
      <c r="N51" s="3">
        <v>0.25939219141660447</v>
      </c>
      <c r="O51" s="3">
        <v>0.89797773056349117</v>
      </c>
      <c r="P51" s="1">
        <f t="shared" si="6"/>
        <v>343.73965132660328</v>
      </c>
      <c r="Q51" s="1">
        <f t="shared" si="7"/>
        <v>341.94369586547634</v>
      </c>
      <c r="R51" s="4">
        <v>3237.9897460900002</v>
      </c>
    </row>
    <row r="52" spans="1:18" x14ac:dyDescent="0.2">
      <c r="A52">
        <v>49</v>
      </c>
      <c r="B52">
        <f t="shared" si="3"/>
        <v>490</v>
      </c>
      <c r="C52" s="5">
        <v>142.95616689750702</v>
      </c>
      <c r="D52" s="2">
        <f t="shared" si="4"/>
        <v>346.6890557863959</v>
      </c>
    </row>
    <row r="53" spans="1:18" x14ac:dyDescent="0.2">
      <c r="A53">
        <v>50</v>
      </c>
      <c r="B53">
        <f t="shared" si="3"/>
        <v>500</v>
      </c>
      <c r="C53" s="5">
        <v>143.238562023562</v>
      </c>
      <c r="D53" s="2">
        <f t="shared" si="4"/>
        <v>346.9714509124509</v>
      </c>
    </row>
    <row r="54" spans="1:18" x14ac:dyDescent="0.2">
      <c r="A54">
        <v>51</v>
      </c>
      <c r="B54">
        <f t="shared" si="3"/>
        <v>510</v>
      </c>
      <c r="C54" s="5">
        <v>143.16900034650001</v>
      </c>
      <c r="D54" s="2">
        <f t="shared" si="4"/>
        <v>346.90188923538892</v>
      </c>
    </row>
    <row r="55" spans="1:18" x14ac:dyDescent="0.2">
      <c r="A55">
        <v>52</v>
      </c>
      <c r="B55">
        <f t="shared" si="3"/>
        <v>520</v>
      </c>
      <c r="C55" s="5">
        <v>143.21853481122298</v>
      </c>
      <c r="D55" s="2">
        <f t="shared" si="4"/>
        <v>346.95142370011189</v>
      </c>
    </row>
    <row r="56" spans="1:18" x14ac:dyDescent="0.2">
      <c r="A56">
        <v>53</v>
      </c>
      <c r="B56">
        <f t="shared" si="3"/>
        <v>530</v>
      </c>
      <c r="C56" s="5">
        <v>143.51746622791799</v>
      </c>
      <c r="D56" s="2">
        <f t="shared" si="4"/>
        <v>347.25035511680687</v>
      </c>
    </row>
    <row r="57" spans="1:18" x14ac:dyDescent="0.2">
      <c r="A57">
        <v>54</v>
      </c>
      <c r="B57">
        <f t="shared" si="3"/>
        <v>540</v>
      </c>
      <c r="C57" s="5">
        <v>143.61860360360402</v>
      </c>
      <c r="D57" s="2">
        <f t="shared" si="4"/>
        <v>347.35149249249292</v>
      </c>
    </row>
    <row r="58" spans="1:18" x14ac:dyDescent="0.2">
      <c r="A58">
        <v>55</v>
      </c>
      <c r="B58">
        <f t="shared" si="3"/>
        <v>550</v>
      </c>
      <c r="C58" s="5">
        <v>143.202525987526</v>
      </c>
      <c r="D58" s="2">
        <f t="shared" si="4"/>
        <v>346.93541487641494</v>
      </c>
    </row>
    <row r="59" spans="1:18" x14ac:dyDescent="0.2">
      <c r="A59">
        <v>56</v>
      </c>
      <c r="B59">
        <f t="shared" si="3"/>
        <v>560</v>
      </c>
      <c r="C59" s="5">
        <v>143.24519390581699</v>
      </c>
      <c r="D59" s="2">
        <f t="shared" si="4"/>
        <v>346.97808279470587</v>
      </c>
    </row>
    <row r="60" spans="1:18" x14ac:dyDescent="0.2">
      <c r="A60">
        <v>57</v>
      </c>
      <c r="B60">
        <f t="shared" si="3"/>
        <v>570</v>
      </c>
      <c r="C60" s="5">
        <v>143.12059078309099</v>
      </c>
      <c r="D60" s="2">
        <f t="shared" si="4"/>
        <v>346.85347967197993</v>
      </c>
    </row>
    <row r="61" spans="1:18" x14ac:dyDescent="0.2">
      <c r="A61">
        <v>58</v>
      </c>
      <c r="B61">
        <f t="shared" si="3"/>
        <v>580</v>
      </c>
      <c r="C61" s="5">
        <v>142.898156618157</v>
      </c>
      <c r="D61" s="2">
        <f t="shared" si="4"/>
        <v>346.63104550704588</v>
      </c>
    </row>
    <row r="62" spans="1:18" x14ac:dyDescent="0.2">
      <c r="A62">
        <v>59</v>
      </c>
      <c r="B62">
        <f t="shared" si="3"/>
        <v>590</v>
      </c>
      <c r="C62" s="5">
        <v>143.02706544321299</v>
      </c>
      <c r="D62" s="2">
        <f t="shared" si="4"/>
        <v>346.75995433210187</v>
      </c>
    </row>
    <row r="63" spans="1:18" x14ac:dyDescent="0.2">
      <c r="A63">
        <v>60</v>
      </c>
      <c r="B63">
        <f t="shared" si="3"/>
        <v>600</v>
      </c>
      <c r="C63" s="5">
        <v>143.23985446985398</v>
      </c>
      <c r="D63" s="2">
        <f t="shared" si="4"/>
        <v>346.97274335874289</v>
      </c>
    </row>
    <row r="64" spans="1:18" x14ac:dyDescent="0.2">
      <c r="A64">
        <v>61</v>
      </c>
      <c r="B64">
        <f t="shared" si="3"/>
        <v>610</v>
      </c>
      <c r="C64" s="5">
        <v>143.25073977823999</v>
      </c>
      <c r="D64" s="2">
        <f t="shared" si="4"/>
        <v>346.98362866712887</v>
      </c>
    </row>
    <row r="65" spans="1:4" x14ac:dyDescent="0.2">
      <c r="A65">
        <v>62</v>
      </c>
      <c r="B65">
        <f t="shared" si="3"/>
        <v>620</v>
      </c>
      <c r="C65" s="5">
        <v>143.142763340263</v>
      </c>
      <c r="D65" s="2">
        <f t="shared" si="4"/>
        <v>346.87565222915191</v>
      </c>
    </row>
    <row r="66" spans="1:4" x14ac:dyDescent="0.2">
      <c r="A66">
        <v>63</v>
      </c>
      <c r="B66">
        <f t="shared" si="3"/>
        <v>630</v>
      </c>
      <c r="C66" s="5">
        <v>142.823422191449</v>
      </c>
      <c r="D66" s="2">
        <f t="shared" si="4"/>
        <v>346.55631108033788</v>
      </c>
    </row>
    <row r="67" spans="1:4" x14ac:dyDescent="0.2">
      <c r="A67">
        <v>64</v>
      </c>
      <c r="B67">
        <f t="shared" si="3"/>
        <v>640</v>
      </c>
      <c r="C67" s="5">
        <v>142.83194559944602</v>
      </c>
      <c r="D67" s="2">
        <f t="shared" si="4"/>
        <v>346.5648344883349</v>
      </c>
    </row>
    <row r="68" spans="1:4" x14ac:dyDescent="0.2">
      <c r="A68">
        <v>65</v>
      </c>
      <c r="B68">
        <f t="shared" si="3"/>
        <v>650</v>
      </c>
      <c r="C68" s="5">
        <v>143.07768018017998</v>
      </c>
      <c r="D68" s="2">
        <f t="shared" si="4"/>
        <v>346.81056906906889</v>
      </c>
    </row>
    <row r="69" spans="1:4" x14ac:dyDescent="0.2">
      <c r="A69">
        <v>66</v>
      </c>
      <c r="B69">
        <f t="shared" si="3"/>
        <v>660</v>
      </c>
      <c r="C69" s="5">
        <v>143.04100761772901</v>
      </c>
      <c r="D69" s="2">
        <f t="shared" si="4"/>
        <v>346.77389650661792</v>
      </c>
    </row>
    <row r="70" spans="1:4" x14ac:dyDescent="0.2">
      <c r="A70">
        <v>67</v>
      </c>
      <c r="B70">
        <f t="shared" si="3"/>
        <v>670</v>
      </c>
      <c r="C70" s="5">
        <v>143.10401767151799</v>
      </c>
      <c r="D70" s="2">
        <f t="shared" si="4"/>
        <v>346.83690656040687</v>
      </c>
    </row>
    <row r="71" spans="1:4" x14ac:dyDescent="0.2">
      <c r="A71">
        <v>68</v>
      </c>
      <c r="B71">
        <f t="shared" si="3"/>
        <v>680</v>
      </c>
      <c r="C71" s="5">
        <v>142.767534650035</v>
      </c>
      <c r="D71" s="2">
        <f t="shared" si="4"/>
        <v>346.50042353892388</v>
      </c>
    </row>
    <row r="72" spans="1:4" x14ac:dyDescent="0.2">
      <c r="A72">
        <v>69</v>
      </c>
      <c r="B72">
        <f t="shared" si="3"/>
        <v>690</v>
      </c>
      <c r="C72" s="5">
        <v>142.85727477477499</v>
      </c>
      <c r="D72" s="2">
        <f t="shared" si="4"/>
        <v>346.59016366366393</v>
      </c>
    </row>
    <row r="73" spans="1:4" x14ac:dyDescent="0.2">
      <c r="A73">
        <v>70</v>
      </c>
      <c r="B73">
        <f t="shared" si="3"/>
        <v>700</v>
      </c>
      <c r="C73" s="5">
        <v>142.76451869806101</v>
      </c>
      <c r="D73" s="2">
        <f t="shared" si="4"/>
        <v>346.49740758694992</v>
      </c>
    </row>
    <row r="74" spans="1:4" x14ac:dyDescent="0.2">
      <c r="A74">
        <v>71</v>
      </c>
      <c r="B74">
        <f t="shared" si="3"/>
        <v>710</v>
      </c>
      <c r="C74" s="5">
        <v>142.40260914760898</v>
      </c>
      <c r="D74" s="2">
        <f t="shared" si="4"/>
        <v>346.13549803649789</v>
      </c>
    </row>
    <row r="75" spans="1:4" x14ac:dyDescent="0.2">
      <c r="A75">
        <v>72</v>
      </c>
      <c r="B75">
        <f t="shared" si="3"/>
        <v>720</v>
      </c>
      <c r="C75" s="5">
        <v>142.47883056133102</v>
      </c>
      <c r="D75" s="2">
        <f t="shared" si="4"/>
        <v>346.2117194502199</v>
      </c>
    </row>
    <row r="76" spans="1:4" x14ac:dyDescent="0.2">
      <c r="A76">
        <v>73</v>
      </c>
      <c r="B76">
        <f t="shared" si="3"/>
        <v>730</v>
      </c>
      <c r="C76" s="5">
        <v>142.49401142659298</v>
      </c>
      <c r="D76" s="2">
        <f t="shared" si="4"/>
        <v>346.22690031548188</v>
      </c>
    </row>
    <row r="77" spans="1:4" x14ac:dyDescent="0.2">
      <c r="A77">
        <v>74</v>
      </c>
      <c r="B77">
        <f t="shared" si="3"/>
        <v>740</v>
      </c>
      <c r="C77" s="5">
        <v>142.48718988218999</v>
      </c>
      <c r="D77" s="2">
        <f t="shared" si="4"/>
        <v>346.22007877107887</v>
      </c>
    </row>
    <row r="78" spans="1:4" x14ac:dyDescent="0.2">
      <c r="A78">
        <v>75</v>
      </c>
      <c r="B78">
        <f t="shared" si="3"/>
        <v>750</v>
      </c>
      <c r="C78" s="5">
        <v>142.52015246015202</v>
      </c>
      <c r="D78" s="2">
        <f t="shared" si="4"/>
        <v>346.25304134904093</v>
      </c>
    </row>
    <row r="79" spans="1:4" x14ac:dyDescent="0.2">
      <c r="A79">
        <v>76</v>
      </c>
      <c r="B79">
        <f t="shared" si="3"/>
        <v>760</v>
      </c>
      <c r="C79" s="5">
        <v>142.258977823978</v>
      </c>
      <c r="D79" s="2">
        <f t="shared" si="4"/>
        <v>345.99186671286691</v>
      </c>
    </row>
    <row r="80" spans="1:4" x14ac:dyDescent="0.2">
      <c r="A80">
        <v>77</v>
      </c>
      <c r="B80">
        <f t="shared" si="3"/>
        <v>770</v>
      </c>
      <c r="C80" s="5">
        <v>142.13426939058198</v>
      </c>
      <c r="D80" s="2">
        <f t="shared" si="4"/>
        <v>345.86715827947091</v>
      </c>
    </row>
    <row r="81" spans="1:4" x14ac:dyDescent="0.2">
      <c r="A81">
        <v>78</v>
      </c>
      <c r="B81">
        <f t="shared" si="3"/>
        <v>780</v>
      </c>
      <c r="C81" s="5">
        <v>142.13207207207202</v>
      </c>
      <c r="D81" s="2">
        <f t="shared" si="4"/>
        <v>345.86496096096096</v>
      </c>
    </row>
    <row r="82" spans="1:4" x14ac:dyDescent="0.2">
      <c r="A82">
        <v>79</v>
      </c>
      <c r="B82">
        <f t="shared" si="3"/>
        <v>790</v>
      </c>
      <c r="C82" s="5">
        <v>142.047236659737</v>
      </c>
      <c r="D82" s="2">
        <f t="shared" si="4"/>
        <v>345.7801255486259</v>
      </c>
    </row>
    <row r="83" spans="1:4" x14ac:dyDescent="0.2">
      <c r="A83">
        <v>80</v>
      </c>
      <c r="B83">
        <f t="shared" si="3"/>
        <v>800</v>
      </c>
      <c r="C83" s="5">
        <v>142.15923476454302</v>
      </c>
      <c r="D83" s="2">
        <f t="shared" si="4"/>
        <v>345.8921236534319</v>
      </c>
    </row>
    <row r="84" spans="1:4" x14ac:dyDescent="0.2">
      <c r="A84">
        <v>81</v>
      </c>
      <c r="B84">
        <f t="shared" si="3"/>
        <v>810</v>
      </c>
      <c r="C84" s="5">
        <v>142.032032224532</v>
      </c>
      <c r="D84" s="2">
        <f t="shared" si="4"/>
        <v>345.76492111342088</v>
      </c>
    </row>
    <row r="85" spans="1:4" x14ac:dyDescent="0.2">
      <c r="A85">
        <v>82</v>
      </c>
      <c r="B85">
        <f t="shared" si="3"/>
        <v>820</v>
      </c>
      <c r="C85" s="5">
        <v>142.05035169785199</v>
      </c>
      <c r="D85" s="2">
        <f t="shared" si="4"/>
        <v>345.78324058674093</v>
      </c>
    </row>
    <row r="86" spans="1:4" x14ac:dyDescent="0.2">
      <c r="A86">
        <v>83</v>
      </c>
      <c r="B86">
        <f t="shared" si="3"/>
        <v>830</v>
      </c>
      <c r="C86" s="5">
        <v>141.96181912681899</v>
      </c>
      <c r="D86" s="2">
        <f t="shared" si="4"/>
        <v>345.69470801570787</v>
      </c>
    </row>
    <row r="87" spans="1:4" x14ac:dyDescent="0.2">
      <c r="A87">
        <v>84</v>
      </c>
      <c r="B87">
        <f t="shared" si="3"/>
        <v>840</v>
      </c>
      <c r="C87" s="5">
        <v>141.80520083102499</v>
      </c>
      <c r="D87" s="2">
        <f t="shared" si="4"/>
        <v>345.5380897199139</v>
      </c>
    </row>
    <row r="88" spans="1:4" x14ac:dyDescent="0.2">
      <c r="A88">
        <v>85</v>
      </c>
      <c r="B88">
        <f t="shared" ref="B88:B95" si="8">A88*10</f>
        <v>850</v>
      </c>
      <c r="C88" s="5">
        <v>141.36972799722798</v>
      </c>
      <c r="D88" s="2">
        <f t="shared" ref="D88:D95" si="9">C88+((-0.7286*$C$4)+227.21)</f>
        <v>345.10261688611689</v>
      </c>
    </row>
    <row r="89" spans="1:4" x14ac:dyDescent="0.2">
      <c r="A89">
        <v>86</v>
      </c>
      <c r="B89">
        <f t="shared" si="8"/>
        <v>860</v>
      </c>
      <c r="C89" s="5">
        <v>141.334987872488</v>
      </c>
      <c r="D89" s="2">
        <f t="shared" si="9"/>
        <v>345.06787676137691</v>
      </c>
    </row>
    <row r="90" spans="1:4" x14ac:dyDescent="0.2">
      <c r="A90">
        <v>87</v>
      </c>
      <c r="B90">
        <f t="shared" si="8"/>
        <v>870</v>
      </c>
      <c r="C90" s="5">
        <v>141.23267486149598</v>
      </c>
      <c r="D90" s="2">
        <f t="shared" si="9"/>
        <v>344.96556375038489</v>
      </c>
    </row>
    <row r="91" spans="1:4" x14ac:dyDescent="0.2">
      <c r="A91">
        <v>88</v>
      </c>
      <c r="B91">
        <f t="shared" si="8"/>
        <v>880</v>
      </c>
      <c r="C91" s="5">
        <v>141.03213790713801</v>
      </c>
      <c r="D91" s="2">
        <f t="shared" si="9"/>
        <v>344.76502679602692</v>
      </c>
    </row>
    <row r="92" spans="1:4" x14ac:dyDescent="0.2">
      <c r="A92">
        <v>89</v>
      </c>
      <c r="B92">
        <f t="shared" si="8"/>
        <v>890</v>
      </c>
      <c r="C92" s="5">
        <v>141.00446292446301</v>
      </c>
      <c r="D92" s="2">
        <f t="shared" si="9"/>
        <v>344.73735181335189</v>
      </c>
    </row>
    <row r="93" spans="1:4" x14ac:dyDescent="0.2">
      <c r="A93">
        <v>90</v>
      </c>
      <c r="B93">
        <f t="shared" si="8"/>
        <v>900</v>
      </c>
      <c r="C93" s="5">
        <v>140.882094594595</v>
      </c>
      <c r="D93" s="2">
        <f t="shared" si="9"/>
        <v>344.61498348348391</v>
      </c>
    </row>
    <row r="94" spans="1:4" x14ac:dyDescent="0.2">
      <c r="A94">
        <v>91</v>
      </c>
      <c r="B94">
        <f t="shared" si="8"/>
        <v>910</v>
      </c>
      <c r="C94" s="5">
        <v>140.786887119114</v>
      </c>
      <c r="D94" s="2">
        <f t="shared" si="9"/>
        <v>344.51977600800291</v>
      </c>
    </row>
    <row r="95" spans="1:4" x14ac:dyDescent="0.2">
      <c r="A95">
        <v>92</v>
      </c>
      <c r="B95">
        <f t="shared" si="8"/>
        <v>920</v>
      </c>
      <c r="C95" s="5">
        <v>140.50275467775501</v>
      </c>
      <c r="D95" s="2">
        <f t="shared" si="9"/>
        <v>344.23564356664394</v>
      </c>
    </row>
    <row r="97" spans="1:9" x14ac:dyDescent="0.2">
      <c r="A97" t="s">
        <v>17</v>
      </c>
    </row>
    <row r="98" spans="1:9" x14ac:dyDescent="0.2">
      <c r="A98" t="s">
        <v>9</v>
      </c>
      <c r="B98" t="s">
        <v>10</v>
      </c>
      <c r="C98" t="s">
        <v>11</v>
      </c>
      <c r="D98" t="s">
        <v>12</v>
      </c>
      <c r="E98" t="s">
        <v>14</v>
      </c>
      <c r="F98" t="s">
        <v>13</v>
      </c>
      <c r="G98" t="s">
        <v>18</v>
      </c>
      <c r="H98" t="s">
        <v>5</v>
      </c>
      <c r="I98" t="s">
        <v>53</v>
      </c>
    </row>
    <row r="99" spans="1:9" x14ac:dyDescent="0.2">
      <c r="A99">
        <v>20</v>
      </c>
      <c r="B99">
        <f>A99*10</f>
        <v>200</v>
      </c>
      <c r="C99">
        <v>-156.41999999999999</v>
      </c>
      <c r="D99" s="2">
        <f>C99+((-0.7286*$C$5)+227.21)</f>
        <v>46.098555555555578</v>
      </c>
      <c r="E99" s="2">
        <f>AVERAGE(C99:C171)</f>
        <v>-203.79589041095892</v>
      </c>
      <c r="F99" s="2">
        <f>AVERAGE(D99:D171)</f>
        <v>-1.2773348554033392</v>
      </c>
      <c r="G99">
        <f>_xlfn.STDEV.S(D99:D171)</f>
        <v>23.560775185064617</v>
      </c>
      <c r="H99">
        <f>(G99/F99)*100</f>
        <v>-1844.5261307478311</v>
      </c>
      <c r="I99">
        <f>COUNT(D99:D171)</f>
        <v>73</v>
      </c>
    </row>
    <row r="100" spans="1:9" x14ac:dyDescent="0.2">
      <c r="A100">
        <v>21</v>
      </c>
      <c r="B100">
        <f t="shared" ref="B100:B163" si="10">A100*10</f>
        <v>210</v>
      </c>
      <c r="C100">
        <v>-157.25</v>
      </c>
      <c r="D100" s="2">
        <f t="shared" ref="D100:D163" si="11">C100+((-0.7286*$C$5)+227.21)</f>
        <v>45.268555555555565</v>
      </c>
    </row>
    <row r="101" spans="1:9" x14ac:dyDescent="0.2">
      <c r="A101">
        <v>22</v>
      </c>
      <c r="B101">
        <f t="shared" si="10"/>
        <v>220</v>
      </c>
      <c r="C101">
        <v>-155.34</v>
      </c>
      <c r="D101" s="2">
        <f t="shared" si="11"/>
        <v>47.178555555555562</v>
      </c>
    </row>
    <row r="102" spans="1:9" x14ac:dyDescent="0.2">
      <c r="A102">
        <v>23</v>
      </c>
      <c r="B102">
        <f t="shared" si="10"/>
        <v>230</v>
      </c>
      <c r="C102">
        <v>-155.49</v>
      </c>
      <c r="D102" s="2">
        <f t="shared" si="11"/>
        <v>47.028555555555556</v>
      </c>
    </row>
    <row r="103" spans="1:9" x14ac:dyDescent="0.2">
      <c r="A103">
        <v>24</v>
      </c>
      <c r="B103">
        <f t="shared" si="10"/>
        <v>240</v>
      </c>
      <c r="C103">
        <v>-156.16999999999999</v>
      </c>
      <c r="D103" s="2">
        <f t="shared" si="11"/>
        <v>46.348555555555578</v>
      </c>
    </row>
    <row r="104" spans="1:9" x14ac:dyDescent="0.2">
      <c r="A104">
        <v>25</v>
      </c>
      <c r="B104">
        <f t="shared" si="10"/>
        <v>250</v>
      </c>
      <c r="C104">
        <v>-156.07</v>
      </c>
      <c r="D104" s="2">
        <f t="shared" si="11"/>
        <v>46.448555555555572</v>
      </c>
    </row>
    <row r="105" spans="1:9" x14ac:dyDescent="0.2">
      <c r="A105">
        <v>26</v>
      </c>
      <c r="B105">
        <f t="shared" si="10"/>
        <v>260</v>
      </c>
      <c r="C105">
        <v>-157.99</v>
      </c>
      <c r="D105" s="2">
        <f t="shared" si="11"/>
        <v>44.528555555555556</v>
      </c>
    </row>
    <row r="106" spans="1:9" x14ac:dyDescent="0.2">
      <c r="A106">
        <v>27</v>
      </c>
      <c r="B106">
        <f t="shared" si="10"/>
        <v>270</v>
      </c>
      <c r="C106">
        <v>-160.78</v>
      </c>
      <c r="D106" s="2">
        <f t="shared" si="11"/>
        <v>41.738555555555564</v>
      </c>
    </row>
    <row r="107" spans="1:9" x14ac:dyDescent="0.2">
      <c r="A107">
        <v>28</v>
      </c>
      <c r="B107">
        <f t="shared" si="10"/>
        <v>280</v>
      </c>
      <c r="C107">
        <v>-162.74</v>
      </c>
      <c r="D107" s="2">
        <f t="shared" si="11"/>
        <v>39.778555555555556</v>
      </c>
    </row>
    <row r="108" spans="1:9" x14ac:dyDescent="0.2">
      <c r="A108">
        <v>29</v>
      </c>
      <c r="B108">
        <f t="shared" si="10"/>
        <v>290</v>
      </c>
      <c r="C108">
        <v>-163.31</v>
      </c>
      <c r="D108" s="2">
        <f t="shared" si="11"/>
        <v>39.208555555555563</v>
      </c>
    </row>
    <row r="109" spans="1:9" x14ac:dyDescent="0.2">
      <c r="A109">
        <v>30</v>
      </c>
      <c r="B109">
        <f t="shared" si="10"/>
        <v>300</v>
      </c>
      <c r="C109">
        <v>-164.9</v>
      </c>
      <c r="D109" s="2">
        <f t="shared" si="11"/>
        <v>37.61855555555556</v>
      </c>
    </row>
    <row r="110" spans="1:9" x14ac:dyDescent="0.2">
      <c r="A110">
        <v>31</v>
      </c>
      <c r="B110">
        <f t="shared" si="10"/>
        <v>310</v>
      </c>
      <c r="C110">
        <v>-167.8</v>
      </c>
      <c r="D110" s="2">
        <f t="shared" si="11"/>
        <v>34.718555555555554</v>
      </c>
    </row>
    <row r="111" spans="1:9" x14ac:dyDescent="0.2">
      <c r="A111">
        <v>32</v>
      </c>
      <c r="B111">
        <f t="shared" si="10"/>
        <v>320</v>
      </c>
      <c r="C111">
        <v>-170.76</v>
      </c>
      <c r="D111" s="2">
        <f t="shared" si="11"/>
        <v>31.758555555555574</v>
      </c>
    </row>
    <row r="112" spans="1:9" x14ac:dyDescent="0.2">
      <c r="A112">
        <v>33</v>
      </c>
      <c r="B112">
        <f t="shared" si="10"/>
        <v>330</v>
      </c>
      <c r="C112">
        <v>-173.34</v>
      </c>
      <c r="D112" s="2">
        <f t="shared" si="11"/>
        <v>29.178555555555562</v>
      </c>
    </row>
    <row r="113" spans="1:4" x14ac:dyDescent="0.2">
      <c r="A113">
        <v>34</v>
      </c>
      <c r="B113">
        <f t="shared" si="10"/>
        <v>340</v>
      </c>
      <c r="C113">
        <v>-177.2</v>
      </c>
      <c r="D113" s="2">
        <f t="shared" si="11"/>
        <v>25.318555555555577</v>
      </c>
    </row>
    <row r="114" spans="1:4" x14ac:dyDescent="0.2">
      <c r="A114">
        <v>35</v>
      </c>
      <c r="B114">
        <f t="shared" si="10"/>
        <v>350</v>
      </c>
      <c r="C114">
        <v>-181.81</v>
      </c>
      <c r="D114" s="2">
        <f t="shared" si="11"/>
        <v>20.708555555555563</v>
      </c>
    </row>
    <row r="115" spans="1:4" x14ac:dyDescent="0.2">
      <c r="A115">
        <v>36</v>
      </c>
      <c r="B115">
        <f t="shared" si="10"/>
        <v>360</v>
      </c>
      <c r="C115">
        <v>-186.54</v>
      </c>
      <c r="D115" s="2">
        <f t="shared" si="11"/>
        <v>15.978555555555573</v>
      </c>
    </row>
    <row r="116" spans="1:4" x14ac:dyDescent="0.2">
      <c r="A116">
        <v>37</v>
      </c>
      <c r="B116">
        <f t="shared" si="10"/>
        <v>370</v>
      </c>
      <c r="C116">
        <v>-190.28</v>
      </c>
      <c r="D116" s="2">
        <f t="shared" si="11"/>
        <v>12.238555555555564</v>
      </c>
    </row>
    <row r="117" spans="1:4" x14ac:dyDescent="0.2">
      <c r="A117">
        <v>38</v>
      </c>
      <c r="B117">
        <f t="shared" si="10"/>
        <v>380</v>
      </c>
      <c r="C117">
        <v>-192.21</v>
      </c>
      <c r="D117" s="2">
        <f t="shared" si="11"/>
        <v>10.308555555555557</v>
      </c>
    </row>
    <row r="118" spans="1:4" x14ac:dyDescent="0.2">
      <c r="A118">
        <v>39</v>
      </c>
      <c r="B118">
        <f t="shared" si="10"/>
        <v>390</v>
      </c>
      <c r="C118">
        <v>-194.09</v>
      </c>
      <c r="D118" s="2">
        <f t="shared" si="11"/>
        <v>8.4285555555555618</v>
      </c>
    </row>
    <row r="119" spans="1:4" x14ac:dyDescent="0.2">
      <c r="A119">
        <v>40</v>
      </c>
      <c r="B119">
        <f t="shared" si="10"/>
        <v>400</v>
      </c>
      <c r="C119">
        <v>-196.16</v>
      </c>
      <c r="D119" s="2">
        <f t="shared" si="11"/>
        <v>6.3585555555555686</v>
      </c>
    </row>
    <row r="120" spans="1:4" x14ac:dyDescent="0.2">
      <c r="A120">
        <v>41</v>
      </c>
      <c r="B120">
        <f t="shared" si="10"/>
        <v>410</v>
      </c>
      <c r="C120">
        <v>-198.27</v>
      </c>
      <c r="D120" s="2">
        <f t="shared" si="11"/>
        <v>4.248555555555555</v>
      </c>
    </row>
    <row r="121" spans="1:4" x14ac:dyDescent="0.2">
      <c r="A121">
        <v>42</v>
      </c>
      <c r="B121">
        <f t="shared" si="10"/>
        <v>420</v>
      </c>
      <c r="C121">
        <v>-199.08</v>
      </c>
      <c r="D121" s="2">
        <f t="shared" si="11"/>
        <v>3.4385555555555527</v>
      </c>
    </row>
    <row r="122" spans="1:4" x14ac:dyDescent="0.2">
      <c r="A122">
        <v>43</v>
      </c>
      <c r="B122">
        <f t="shared" si="10"/>
        <v>430</v>
      </c>
      <c r="C122">
        <v>-200.7</v>
      </c>
      <c r="D122" s="2">
        <f t="shared" si="11"/>
        <v>1.8185555555555766</v>
      </c>
    </row>
    <row r="123" spans="1:4" x14ac:dyDescent="0.2">
      <c r="A123">
        <v>44</v>
      </c>
      <c r="B123">
        <f t="shared" si="10"/>
        <v>440</v>
      </c>
      <c r="C123">
        <v>-203.41</v>
      </c>
      <c r="D123" s="2">
        <f t="shared" si="11"/>
        <v>-0.89144444444443138</v>
      </c>
    </row>
    <row r="124" spans="1:4" x14ac:dyDescent="0.2">
      <c r="A124">
        <v>45</v>
      </c>
      <c r="B124">
        <f t="shared" si="10"/>
        <v>450</v>
      </c>
      <c r="C124">
        <v>-207.64</v>
      </c>
      <c r="D124" s="2">
        <f t="shared" si="11"/>
        <v>-5.1214444444444212</v>
      </c>
    </row>
    <row r="125" spans="1:4" x14ac:dyDescent="0.2">
      <c r="A125">
        <v>46</v>
      </c>
      <c r="B125">
        <f t="shared" si="10"/>
        <v>460</v>
      </c>
      <c r="C125">
        <v>-210.96</v>
      </c>
      <c r="D125" s="2">
        <f t="shared" si="11"/>
        <v>-8.4414444444444428</v>
      </c>
    </row>
    <row r="126" spans="1:4" x14ac:dyDescent="0.2">
      <c r="A126">
        <v>47</v>
      </c>
      <c r="B126">
        <f t="shared" si="10"/>
        <v>470</v>
      </c>
      <c r="C126">
        <v>-214.38</v>
      </c>
      <c r="D126" s="2">
        <f t="shared" si="11"/>
        <v>-11.86144444444443</v>
      </c>
    </row>
    <row r="127" spans="1:4" x14ac:dyDescent="0.2">
      <c r="A127">
        <v>48</v>
      </c>
      <c r="B127">
        <f t="shared" si="10"/>
        <v>480</v>
      </c>
      <c r="C127">
        <v>-217.97</v>
      </c>
      <c r="D127" s="2">
        <f t="shared" si="11"/>
        <v>-15.451444444444434</v>
      </c>
    </row>
    <row r="128" spans="1:4" x14ac:dyDescent="0.2">
      <c r="A128">
        <v>49</v>
      </c>
      <c r="B128">
        <f t="shared" si="10"/>
        <v>490</v>
      </c>
      <c r="C128">
        <v>-219.13</v>
      </c>
      <c r="D128" s="2">
        <f t="shared" si="11"/>
        <v>-16.61144444444443</v>
      </c>
    </row>
    <row r="129" spans="1:4" x14ac:dyDescent="0.2">
      <c r="A129">
        <v>50</v>
      </c>
      <c r="B129">
        <f t="shared" si="10"/>
        <v>500</v>
      </c>
      <c r="C129">
        <v>-220.55</v>
      </c>
      <c r="D129" s="2">
        <f t="shared" si="11"/>
        <v>-18.031444444444446</v>
      </c>
    </row>
    <row r="130" spans="1:4" x14ac:dyDescent="0.2">
      <c r="A130">
        <v>51</v>
      </c>
      <c r="B130">
        <f t="shared" si="10"/>
        <v>510</v>
      </c>
      <c r="C130">
        <v>-221.93</v>
      </c>
      <c r="D130" s="2">
        <f t="shared" si="11"/>
        <v>-19.411444444444442</v>
      </c>
    </row>
    <row r="131" spans="1:4" x14ac:dyDescent="0.2">
      <c r="A131">
        <v>52</v>
      </c>
      <c r="B131">
        <f t="shared" si="10"/>
        <v>520</v>
      </c>
      <c r="C131">
        <v>-223.36</v>
      </c>
      <c r="D131" s="2">
        <f t="shared" si="11"/>
        <v>-20.841444444444448</v>
      </c>
    </row>
    <row r="132" spans="1:4" x14ac:dyDescent="0.2">
      <c r="A132">
        <v>53</v>
      </c>
      <c r="B132">
        <f t="shared" si="10"/>
        <v>530</v>
      </c>
      <c r="C132">
        <v>-224.91</v>
      </c>
      <c r="D132" s="2">
        <f t="shared" si="11"/>
        <v>-22.391444444444431</v>
      </c>
    </row>
    <row r="133" spans="1:4" x14ac:dyDescent="0.2">
      <c r="A133">
        <v>54</v>
      </c>
      <c r="B133">
        <f t="shared" si="10"/>
        <v>540</v>
      </c>
      <c r="C133">
        <v>-226.82</v>
      </c>
      <c r="D133" s="2">
        <f t="shared" si="11"/>
        <v>-24.301444444444428</v>
      </c>
    </row>
    <row r="134" spans="1:4" x14ac:dyDescent="0.2">
      <c r="A134">
        <v>55</v>
      </c>
      <c r="B134">
        <f t="shared" si="10"/>
        <v>550</v>
      </c>
      <c r="C134">
        <v>-228.95</v>
      </c>
      <c r="D134" s="2">
        <f t="shared" si="11"/>
        <v>-26.431444444444423</v>
      </c>
    </row>
    <row r="135" spans="1:4" x14ac:dyDescent="0.2">
      <c r="A135">
        <v>56</v>
      </c>
      <c r="B135">
        <f t="shared" si="10"/>
        <v>560</v>
      </c>
      <c r="C135">
        <v>-229.38</v>
      </c>
      <c r="D135" s="2">
        <f t="shared" si="11"/>
        <v>-26.86144444444443</v>
      </c>
    </row>
    <row r="136" spans="1:4" x14ac:dyDescent="0.2">
      <c r="A136">
        <v>57</v>
      </c>
      <c r="B136">
        <f t="shared" si="10"/>
        <v>570</v>
      </c>
      <c r="C136">
        <v>-228.07</v>
      </c>
      <c r="D136" s="2">
        <f t="shared" si="11"/>
        <v>-25.551444444444428</v>
      </c>
    </row>
    <row r="137" spans="1:4" x14ac:dyDescent="0.2">
      <c r="A137">
        <v>58</v>
      </c>
      <c r="B137">
        <f t="shared" si="10"/>
        <v>580</v>
      </c>
      <c r="C137">
        <v>-226.5</v>
      </c>
      <c r="D137" s="2">
        <f t="shared" si="11"/>
        <v>-23.981444444444435</v>
      </c>
    </row>
    <row r="138" spans="1:4" x14ac:dyDescent="0.2">
      <c r="A138">
        <v>59</v>
      </c>
      <c r="B138">
        <f t="shared" si="10"/>
        <v>590</v>
      </c>
      <c r="C138">
        <v>-225.91</v>
      </c>
      <c r="D138" s="2">
        <f t="shared" si="11"/>
        <v>-23.391444444444431</v>
      </c>
    </row>
    <row r="139" spans="1:4" x14ac:dyDescent="0.2">
      <c r="A139">
        <v>60</v>
      </c>
      <c r="B139">
        <f t="shared" si="10"/>
        <v>600</v>
      </c>
      <c r="C139">
        <v>-225.69</v>
      </c>
      <c r="D139" s="2">
        <f t="shared" si="11"/>
        <v>-23.171444444444433</v>
      </c>
    </row>
    <row r="140" spans="1:4" x14ac:dyDescent="0.2">
      <c r="A140">
        <v>61</v>
      </c>
      <c r="B140">
        <f t="shared" si="10"/>
        <v>610</v>
      </c>
      <c r="C140">
        <v>-225.39</v>
      </c>
      <c r="D140" s="2">
        <f t="shared" si="11"/>
        <v>-22.871444444444421</v>
      </c>
    </row>
    <row r="141" spans="1:4" x14ac:dyDescent="0.2">
      <c r="A141">
        <v>62</v>
      </c>
      <c r="B141">
        <f t="shared" si="10"/>
        <v>620</v>
      </c>
      <c r="C141">
        <v>-224.75</v>
      </c>
      <c r="D141" s="2">
        <f t="shared" si="11"/>
        <v>-22.231444444444435</v>
      </c>
    </row>
    <row r="142" spans="1:4" x14ac:dyDescent="0.2">
      <c r="A142">
        <v>63</v>
      </c>
      <c r="B142">
        <f t="shared" si="10"/>
        <v>630</v>
      </c>
      <c r="C142">
        <v>-224.19</v>
      </c>
      <c r="D142" s="2">
        <f t="shared" si="11"/>
        <v>-21.671444444444433</v>
      </c>
    </row>
    <row r="143" spans="1:4" x14ac:dyDescent="0.2">
      <c r="A143">
        <v>64</v>
      </c>
      <c r="B143">
        <f t="shared" si="10"/>
        <v>640</v>
      </c>
      <c r="C143">
        <v>-223.68</v>
      </c>
      <c r="D143" s="2">
        <f t="shared" si="11"/>
        <v>-21.161444444444442</v>
      </c>
    </row>
    <row r="144" spans="1:4" x14ac:dyDescent="0.2">
      <c r="A144">
        <v>65</v>
      </c>
      <c r="B144">
        <f t="shared" si="10"/>
        <v>650</v>
      </c>
      <c r="C144">
        <v>-223.27</v>
      </c>
      <c r="D144" s="2">
        <f t="shared" si="11"/>
        <v>-20.751444444444445</v>
      </c>
    </row>
    <row r="145" spans="1:4" x14ac:dyDescent="0.2">
      <c r="A145">
        <v>66</v>
      </c>
      <c r="B145">
        <f t="shared" si="10"/>
        <v>660</v>
      </c>
      <c r="C145">
        <v>-222.5</v>
      </c>
      <c r="D145" s="2">
        <f t="shared" si="11"/>
        <v>-19.981444444444435</v>
      </c>
    </row>
    <row r="146" spans="1:4" x14ac:dyDescent="0.2">
      <c r="A146">
        <v>67</v>
      </c>
      <c r="B146">
        <f t="shared" si="10"/>
        <v>670</v>
      </c>
      <c r="C146">
        <v>-221.81</v>
      </c>
      <c r="D146" s="2">
        <f t="shared" si="11"/>
        <v>-19.291444444444437</v>
      </c>
    </row>
    <row r="147" spans="1:4" x14ac:dyDescent="0.2">
      <c r="A147">
        <v>68</v>
      </c>
      <c r="B147">
        <f t="shared" si="10"/>
        <v>680</v>
      </c>
      <c r="C147">
        <v>-221.07</v>
      </c>
      <c r="D147" s="2">
        <f t="shared" si="11"/>
        <v>-18.551444444444428</v>
      </c>
    </row>
    <row r="148" spans="1:4" x14ac:dyDescent="0.2">
      <c r="A148">
        <v>69</v>
      </c>
      <c r="B148">
        <f t="shared" si="10"/>
        <v>690</v>
      </c>
      <c r="C148">
        <v>-220.31</v>
      </c>
      <c r="D148" s="2">
        <f t="shared" si="11"/>
        <v>-17.791444444444437</v>
      </c>
    </row>
    <row r="149" spans="1:4" x14ac:dyDescent="0.2">
      <c r="A149">
        <v>70</v>
      </c>
      <c r="B149">
        <f t="shared" si="10"/>
        <v>700</v>
      </c>
      <c r="C149">
        <v>-219.53</v>
      </c>
      <c r="D149" s="2">
        <f t="shared" si="11"/>
        <v>-17.011444444444436</v>
      </c>
    </row>
    <row r="150" spans="1:4" x14ac:dyDescent="0.2">
      <c r="A150">
        <v>71</v>
      </c>
      <c r="B150">
        <f t="shared" si="10"/>
        <v>710</v>
      </c>
      <c r="C150">
        <v>-219.09</v>
      </c>
      <c r="D150" s="2">
        <f t="shared" si="11"/>
        <v>-16.571444444444438</v>
      </c>
    </row>
    <row r="151" spans="1:4" x14ac:dyDescent="0.2">
      <c r="A151">
        <v>72</v>
      </c>
      <c r="B151">
        <f t="shared" si="10"/>
        <v>720</v>
      </c>
      <c r="C151">
        <v>-218.4</v>
      </c>
      <c r="D151" s="2">
        <f t="shared" si="11"/>
        <v>-15.88144444444444</v>
      </c>
    </row>
    <row r="152" spans="1:4" x14ac:dyDescent="0.2">
      <c r="A152">
        <v>73</v>
      </c>
      <c r="B152">
        <f t="shared" si="10"/>
        <v>730</v>
      </c>
      <c r="C152">
        <v>-217.71</v>
      </c>
      <c r="D152" s="2">
        <f t="shared" si="11"/>
        <v>-15.191444444444443</v>
      </c>
    </row>
    <row r="153" spans="1:4" x14ac:dyDescent="0.2">
      <c r="A153">
        <v>74</v>
      </c>
      <c r="B153">
        <f t="shared" si="10"/>
        <v>740</v>
      </c>
      <c r="C153">
        <v>-217.06</v>
      </c>
      <c r="D153" s="2">
        <f t="shared" si="11"/>
        <v>-14.541444444444437</v>
      </c>
    </row>
    <row r="154" spans="1:4" x14ac:dyDescent="0.2">
      <c r="A154">
        <v>75</v>
      </c>
      <c r="B154">
        <f t="shared" si="10"/>
        <v>750</v>
      </c>
      <c r="C154">
        <v>-216.55</v>
      </c>
      <c r="D154" s="2">
        <f t="shared" si="11"/>
        <v>-14.031444444444446</v>
      </c>
    </row>
    <row r="155" spans="1:4" x14ac:dyDescent="0.2">
      <c r="A155">
        <v>76</v>
      </c>
      <c r="B155">
        <f t="shared" si="10"/>
        <v>760</v>
      </c>
      <c r="C155">
        <v>-216.18</v>
      </c>
      <c r="D155" s="2">
        <f t="shared" si="11"/>
        <v>-13.661444444444442</v>
      </c>
    </row>
    <row r="156" spans="1:4" x14ac:dyDescent="0.2">
      <c r="A156">
        <v>77</v>
      </c>
      <c r="B156">
        <f t="shared" si="10"/>
        <v>770</v>
      </c>
      <c r="C156">
        <v>-216.07</v>
      </c>
      <c r="D156" s="2">
        <f t="shared" si="11"/>
        <v>-13.551444444444428</v>
      </c>
    </row>
    <row r="157" spans="1:4" x14ac:dyDescent="0.2">
      <c r="A157">
        <v>78</v>
      </c>
      <c r="B157">
        <f t="shared" si="10"/>
        <v>780</v>
      </c>
      <c r="C157">
        <v>-215.96</v>
      </c>
      <c r="D157" s="2">
        <f t="shared" si="11"/>
        <v>-13.441444444444443</v>
      </c>
    </row>
    <row r="158" spans="1:4" x14ac:dyDescent="0.2">
      <c r="A158">
        <v>79</v>
      </c>
      <c r="B158">
        <f t="shared" si="10"/>
        <v>790</v>
      </c>
      <c r="C158">
        <v>-215.68</v>
      </c>
      <c r="D158" s="2">
        <f t="shared" si="11"/>
        <v>-13.161444444444442</v>
      </c>
    </row>
    <row r="159" spans="1:4" x14ac:dyDescent="0.2">
      <c r="A159">
        <v>80</v>
      </c>
      <c r="B159">
        <f t="shared" si="10"/>
        <v>800</v>
      </c>
      <c r="C159">
        <v>-215.45</v>
      </c>
      <c r="D159" s="2">
        <f t="shared" si="11"/>
        <v>-12.931444444444423</v>
      </c>
    </row>
    <row r="160" spans="1:4" x14ac:dyDescent="0.2">
      <c r="A160">
        <v>81</v>
      </c>
      <c r="B160">
        <f t="shared" si="10"/>
        <v>810</v>
      </c>
      <c r="C160">
        <v>-215.29</v>
      </c>
      <c r="D160" s="2">
        <f t="shared" si="11"/>
        <v>-12.771444444444427</v>
      </c>
    </row>
    <row r="161" spans="1:8" x14ac:dyDescent="0.2">
      <c r="A161">
        <v>82</v>
      </c>
      <c r="B161">
        <f t="shared" si="10"/>
        <v>820</v>
      </c>
      <c r="C161">
        <v>-214.68</v>
      </c>
      <c r="D161" s="2">
        <f t="shared" si="11"/>
        <v>-12.161444444444442</v>
      </c>
    </row>
    <row r="162" spans="1:8" x14ac:dyDescent="0.2">
      <c r="A162">
        <v>83</v>
      </c>
      <c r="B162">
        <f t="shared" si="10"/>
        <v>830</v>
      </c>
      <c r="C162">
        <v>-214.12</v>
      </c>
      <c r="D162" s="2">
        <f t="shared" si="11"/>
        <v>-11.601444444444439</v>
      </c>
    </row>
    <row r="163" spans="1:8" x14ac:dyDescent="0.2">
      <c r="A163">
        <v>84</v>
      </c>
      <c r="B163">
        <f t="shared" si="10"/>
        <v>840</v>
      </c>
      <c r="C163">
        <v>-213.33</v>
      </c>
      <c r="D163" s="2">
        <f t="shared" si="11"/>
        <v>-10.811444444444447</v>
      </c>
    </row>
    <row r="164" spans="1:8" x14ac:dyDescent="0.2">
      <c r="A164">
        <v>85</v>
      </c>
      <c r="B164">
        <f t="shared" ref="B164:B171" si="12">A164*10</f>
        <v>850</v>
      </c>
      <c r="C164">
        <v>-212.74</v>
      </c>
      <c r="D164" s="2">
        <f t="shared" ref="D164:D171" si="13">C164+((-0.7286*$C$5)+227.21)</f>
        <v>-10.221444444444444</v>
      </c>
    </row>
    <row r="165" spans="1:8" x14ac:dyDescent="0.2">
      <c r="A165">
        <v>86</v>
      </c>
      <c r="B165">
        <f t="shared" si="12"/>
        <v>860</v>
      </c>
      <c r="C165">
        <v>-212.23</v>
      </c>
      <c r="D165" s="2">
        <f t="shared" si="13"/>
        <v>-9.7114444444444246</v>
      </c>
    </row>
    <row r="166" spans="1:8" x14ac:dyDescent="0.2">
      <c r="A166">
        <v>87</v>
      </c>
      <c r="B166">
        <f t="shared" si="12"/>
        <v>870</v>
      </c>
      <c r="C166">
        <v>-212.01</v>
      </c>
      <c r="D166" s="2">
        <f t="shared" si="13"/>
        <v>-9.4914444444444257</v>
      </c>
    </row>
    <row r="167" spans="1:8" x14ac:dyDescent="0.2">
      <c r="A167">
        <v>88</v>
      </c>
      <c r="B167">
        <f t="shared" si="12"/>
        <v>880</v>
      </c>
      <c r="C167">
        <v>-211.74</v>
      </c>
      <c r="D167" s="2">
        <f t="shared" si="13"/>
        <v>-9.2214444444444439</v>
      </c>
    </row>
    <row r="168" spans="1:8" x14ac:dyDescent="0.2">
      <c r="A168">
        <v>89</v>
      </c>
      <c r="B168">
        <f t="shared" si="12"/>
        <v>890</v>
      </c>
      <c r="C168">
        <v>-211.87</v>
      </c>
      <c r="D168" s="2">
        <f t="shared" si="13"/>
        <v>-9.3514444444444393</v>
      </c>
    </row>
    <row r="169" spans="1:8" x14ac:dyDescent="0.2">
      <c r="A169">
        <v>90</v>
      </c>
      <c r="B169">
        <f t="shared" si="12"/>
        <v>900</v>
      </c>
      <c r="C169">
        <v>-211.55</v>
      </c>
      <c r="D169" s="2">
        <f t="shared" si="13"/>
        <v>-9.0314444444444462</v>
      </c>
    </row>
    <row r="170" spans="1:8" x14ac:dyDescent="0.2">
      <c r="A170">
        <v>91</v>
      </c>
      <c r="B170">
        <f t="shared" si="12"/>
        <v>910</v>
      </c>
      <c r="C170">
        <v>-211.45</v>
      </c>
      <c r="D170" s="2">
        <f t="shared" si="13"/>
        <v>-8.9314444444444234</v>
      </c>
    </row>
    <row r="171" spans="1:8" x14ac:dyDescent="0.2">
      <c r="A171">
        <v>92</v>
      </c>
      <c r="B171">
        <f t="shared" si="12"/>
        <v>920</v>
      </c>
      <c r="C171">
        <v>-211.18</v>
      </c>
      <c r="D171" s="2">
        <f t="shared" si="13"/>
        <v>-8.6614444444444416</v>
      </c>
    </row>
    <row r="173" spans="1:8" x14ac:dyDescent="0.2">
      <c r="A173" t="s">
        <v>19</v>
      </c>
    </row>
    <row r="174" spans="1:8" x14ac:dyDescent="0.2">
      <c r="A174" t="s">
        <v>9</v>
      </c>
      <c r="B174" t="s">
        <v>10</v>
      </c>
      <c r="C174" t="s">
        <v>11</v>
      </c>
      <c r="D174" t="s">
        <v>12</v>
      </c>
      <c r="E174" t="s">
        <v>14</v>
      </c>
      <c r="F174" t="s">
        <v>13</v>
      </c>
      <c r="G174" t="s">
        <v>18</v>
      </c>
      <c r="H174" t="s">
        <v>5</v>
      </c>
    </row>
    <row r="175" spans="1:8" x14ac:dyDescent="0.2">
      <c r="A175">
        <v>20</v>
      </c>
      <c r="B175">
        <f>A175*10</f>
        <v>200</v>
      </c>
      <c r="C175">
        <v>99.31</v>
      </c>
      <c r="D175" s="2">
        <f>C175+((-0.7286*$C$6)+227.21)</f>
        <v>301.82855555555557</v>
      </c>
      <c r="E175" s="2">
        <f>AVERAGE(C175:C247)</f>
        <v>90.406712328767142</v>
      </c>
      <c r="F175" s="2">
        <f>AVERAGE(D175:D247)</f>
        <v>292.92526788432258</v>
      </c>
      <c r="G175">
        <f>_xlfn.STDEV.S(D175:D247)</f>
        <v>4.8136876758983762</v>
      </c>
      <c r="H175">
        <f>(G175/F175)*100</f>
        <v>1.6433159592771363</v>
      </c>
    </row>
    <row r="176" spans="1:8" x14ac:dyDescent="0.2">
      <c r="A176">
        <v>21</v>
      </c>
      <c r="B176">
        <f t="shared" ref="B176:B239" si="14">A176*10</f>
        <v>210</v>
      </c>
      <c r="C176">
        <v>99.16</v>
      </c>
      <c r="D176" s="2">
        <f t="shared" ref="D176:D239" si="15">C176+((-0.7286*$C$6)+227.21)</f>
        <v>301.67855555555559</v>
      </c>
    </row>
    <row r="177" spans="1:4" x14ac:dyDescent="0.2">
      <c r="A177">
        <v>22</v>
      </c>
      <c r="B177">
        <f t="shared" si="14"/>
        <v>220</v>
      </c>
      <c r="C177">
        <v>98.91</v>
      </c>
      <c r="D177" s="2">
        <f t="shared" si="15"/>
        <v>301.42855555555559</v>
      </c>
    </row>
    <row r="178" spans="1:4" x14ac:dyDescent="0.2">
      <c r="A178">
        <v>23</v>
      </c>
      <c r="B178">
        <f t="shared" si="14"/>
        <v>230</v>
      </c>
      <c r="C178">
        <v>98.67</v>
      </c>
      <c r="D178" s="2">
        <f t="shared" si="15"/>
        <v>301.18855555555558</v>
      </c>
    </row>
    <row r="179" spans="1:4" x14ac:dyDescent="0.2">
      <c r="A179">
        <v>24</v>
      </c>
      <c r="B179">
        <f t="shared" si="14"/>
        <v>240</v>
      </c>
      <c r="C179">
        <v>98.48</v>
      </c>
      <c r="D179" s="2">
        <f t="shared" si="15"/>
        <v>300.99855555555558</v>
      </c>
    </row>
    <row r="180" spans="1:4" x14ac:dyDescent="0.2">
      <c r="A180">
        <v>25</v>
      </c>
      <c r="B180">
        <f t="shared" si="14"/>
        <v>250</v>
      </c>
      <c r="C180">
        <v>98.25</v>
      </c>
      <c r="D180" s="2">
        <f t="shared" si="15"/>
        <v>300.76855555555557</v>
      </c>
    </row>
    <row r="181" spans="1:4" x14ac:dyDescent="0.2">
      <c r="A181">
        <v>26</v>
      </c>
      <c r="B181">
        <f t="shared" si="14"/>
        <v>260</v>
      </c>
      <c r="C181">
        <v>97.94</v>
      </c>
      <c r="D181" s="2">
        <f t="shared" si="15"/>
        <v>300.45855555555556</v>
      </c>
    </row>
    <row r="182" spans="1:4" x14ac:dyDescent="0.2">
      <c r="A182">
        <v>27</v>
      </c>
      <c r="B182">
        <f t="shared" si="14"/>
        <v>270</v>
      </c>
      <c r="C182">
        <v>97.29</v>
      </c>
      <c r="D182" s="2">
        <f t="shared" si="15"/>
        <v>299.80855555555559</v>
      </c>
    </row>
    <row r="183" spans="1:4" x14ac:dyDescent="0.2">
      <c r="A183">
        <v>28</v>
      </c>
      <c r="B183">
        <f t="shared" si="14"/>
        <v>280</v>
      </c>
      <c r="C183">
        <v>96.83</v>
      </c>
      <c r="D183" s="2">
        <f t="shared" si="15"/>
        <v>299.34855555555555</v>
      </c>
    </row>
    <row r="184" spans="1:4" x14ac:dyDescent="0.2">
      <c r="A184">
        <v>29</v>
      </c>
      <c r="B184">
        <f t="shared" si="14"/>
        <v>290</v>
      </c>
      <c r="C184">
        <v>96.68</v>
      </c>
      <c r="D184" s="2">
        <f t="shared" si="15"/>
        <v>299.19855555555557</v>
      </c>
    </row>
    <row r="185" spans="1:4" x14ac:dyDescent="0.2">
      <c r="A185">
        <v>30</v>
      </c>
      <c r="B185">
        <f t="shared" si="14"/>
        <v>300</v>
      </c>
      <c r="C185">
        <v>96.54</v>
      </c>
      <c r="D185" s="2">
        <f t="shared" si="15"/>
        <v>299.05855555555559</v>
      </c>
    </row>
    <row r="186" spans="1:4" x14ac:dyDescent="0.2">
      <c r="A186">
        <v>31</v>
      </c>
      <c r="B186">
        <f t="shared" si="14"/>
        <v>310</v>
      </c>
      <c r="C186">
        <v>96.57</v>
      </c>
      <c r="D186" s="2">
        <f t="shared" si="15"/>
        <v>299.08855555555556</v>
      </c>
    </row>
    <row r="187" spans="1:4" x14ac:dyDescent="0.2">
      <c r="A187">
        <v>32</v>
      </c>
      <c r="B187">
        <f t="shared" si="14"/>
        <v>320</v>
      </c>
      <c r="C187">
        <v>96.67</v>
      </c>
      <c r="D187" s="2">
        <f t="shared" si="15"/>
        <v>299.18855555555558</v>
      </c>
    </row>
    <row r="188" spans="1:4" x14ac:dyDescent="0.2">
      <c r="A188">
        <v>33</v>
      </c>
      <c r="B188">
        <f t="shared" si="14"/>
        <v>330</v>
      </c>
      <c r="C188">
        <v>96.73</v>
      </c>
      <c r="D188" s="2">
        <f t="shared" si="15"/>
        <v>299.24855555555558</v>
      </c>
    </row>
    <row r="189" spans="1:4" x14ac:dyDescent="0.2">
      <c r="A189">
        <v>34</v>
      </c>
      <c r="B189">
        <f t="shared" si="14"/>
        <v>340</v>
      </c>
      <c r="C189">
        <v>96.71</v>
      </c>
      <c r="D189" s="2">
        <f t="shared" si="15"/>
        <v>299.22855555555554</v>
      </c>
    </row>
    <row r="190" spans="1:4" x14ac:dyDescent="0.2">
      <c r="A190">
        <v>35</v>
      </c>
      <c r="B190">
        <f t="shared" si="14"/>
        <v>350</v>
      </c>
      <c r="C190">
        <v>95.44</v>
      </c>
      <c r="D190" s="2">
        <f t="shared" si="15"/>
        <v>297.95855555555556</v>
      </c>
    </row>
    <row r="191" spans="1:4" x14ac:dyDescent="0.2">
      <c r="A191">
        <v>36</v>
      </c>
      <c r="B191">
        <f t="shared" si="14"/>
        <v>360</v>
      </c>
      <c r="C191">
        <v>94.66</v>
      </c>
      <c r="D191" s="2">
        <f t="shared" si="15"/>
        <v>297.17855555555559</v>
      </c>
    </row>
    <row r="192" spans="1:4" x14ac:dyDescent="0.2">
      <c r="A192">
        <v>37</v>
      </c>
      <c r="B192">
        <f t="shared" si="14"/>
        <v>370</v>
      </c>
      <c r="C192">
        <v>94.42</v>
      </c>
      <c r="D192" s="2">
        <f t="shared" si="15"/>
        <v>296.93855555555558</v>
      </c>
    </row>
    <row r="193" spans="1:4" x14ac:dyDescent="0.2">
      <c r="A193">
        <v>38</v>
      </c>
      <c r="B193">
        <f t="shared" si="14"/>
        <v>380</v>
      </c>
      <c r="C193">
        <v>94.18</v>
      </c>
      <c r="D193" s="2">
        <f t="shared" si="15"/>
        <v>296.69855555555557</v>
      </c>
    </row>
    <row r="194" spans="1:4" x14ac:dyDescent="0.2">
      <c r="A194">
        <v>39</v>
      </c>
      <c r="B194">
        <f t="shared" si="14"/>
        <v>390</v>
      </c>
      <c r="C194">
        <v>93.94</v>
      </c>
      <c r="D194" s="2">
        <f t="shared" si="15"/>
        <v>296.45855555555556</v>
      </c>
    </row>
    <row r="195" spans="1:4" x14ac:dyDescent="0.2">
      <c r="A195">
        <v>40</v>
      </c>
      <c r="B195">
        <f t="shared" si="14"/>
        <v>400</v>
      </c>
      <c r="C195">
        <v>93.64</v>
      </c>
      <c r="D195" s="2">
        <f t="shared" si="15"/>
        <v>296.15855555555555</v>
      </c>
    </row>
    <row r="196" spans="1:4" x14ac:dyDescent="0.2">
      <c r="A196">
        <v>41</v>
      </c>
      <c r="B196">
        <f t="shared" si="14"/>
        <v>410</v>
      </c>
      <c r="C196">
        <v>93.32</v>
      </c>
      <c r="D196" s="2">
        <f t="shared" si="15"/>
        <v>295.83855555555556</v>
      </c>
    </row>
    <row r="197" spans="1:4" x14ac:dyDescent="0.2">
      <c r="A197">
        <v>42</v>
      </c>
      <c r="B197">
        <f t="shared" si="14"/>
        <v>420</v>
      </c>
      <c r="C197">
        <v>92.99</v>
      </c>
      <c r="D197" s="2">
        <f t="shared" si="15"/>
        <v>295.50855555555557</v>
      </c>
    </row>
    <row r="198" spans="1:4" x14ac:dyDescent="0.2">
      <c r="A198">
        <v>43</v>
      </c>
      <c r="B198">
        <f t="shared" si="14"/>
        <v>430</v>
      </c>
      <c r="C198">
        <v>92.57</v>
      </c>
      <c r="D198" s="2">
        <f t="shared" si="15"/>
        <v>295.08855555555556</v>
      </c>
    </row>
    <row r="199" spans="1:4" x14ac:dyDescent="0.2">
      <c r="A199">
        <v>44</v>
      </c>
      <c r="B199">
        <f t="shared" si="14"/>
        <v>440</v>
      </c>
      <c r="C199">
        <v>92.26</v>
      </c>
      <c r="D199" s="2">
        <f t="shared" si="15"/>
        <v>294.77855555555556</v>
      </c>
    </row>
    <row r="200" spans="1:4" x14ac:dyDescent="0.2">
      <c r="A200">
        <v>45</v>
      </c>
      <c r="B200">
        <f t="shared" si="14"/>
        <v>450</v>
      </c>
      <c r="C200">
        <v>91.96</v>
      </c>
      <c r="D200" s="2">
        <f t="shared" si="15"/>
        <v>294.47855555555554</v>
      </c>
    </row>
    <row r="201" spans="1:4" x14ac:dyDescent="0.2">
      <c r="A201">
        <v>46</v>
      </c>
      <c r="B201">
        <f t="shared" si="14"/>
        <v>460</v>
      </c>
      <c r="C201">
        <v>91.68</v>
      </c>
      <c r="D201" s="2">
        <f t="shared" si="15"/>
        <v>294.19855555555557</v>
      </c>
    </row>
    <row r="202" spans="1:4" x14ac:dyDescent="0.2">
      <c r="A202">
        <v>47</v>
      </c>
      <c r="B202">
        <f t="shared" si="14"/>
        <v>470</v>
      </c>
      <c r="C202">
        <v>91.45</v>
      </c>
      <c r="D202" s="2">
        <f t="shared" si="15"/>
        <v>293.96855555555555</v>
      </c>
    </row>
    <row r="203" spans="1:4" x14ac:dyDescent="0.2">
      <c r="A203">
        <v>48</v>
      </c>
      <c r="B203">
        <f t="shared" si="14"/>
        <v>480</v>
      </c>
      <c r="C203">
        <v>91.2</v>
      </c>
      <c r="D203" s="2">
        <f t="shared" si="15"/>
        <v>293.71855555555555</v>
      </c>
    </row>
    <row r="204" spans="1:4" x14ac:dyDescent="0.2">
      <c r="A204">
        <v>49</v>
      </c>
      <c r="B204">
        <f t="shared" si="14"/>
        <v>490</v>
      </c>
      <c r="C204">
        <v>90.98</v>
      </c>
      <c r="D204" s="2">
        <f t="shared" si="15"/>
        <v>293.49855555555558</v>
      </c>
    </row>
    <row r="205" spans="1:4" x14ac:dyDescent="0.2">
      <c r="A205">
        <v>50</v>
      </c>
      <c r="B205">
        <f t="shared" si="14"/>
        <v>500</v>
      </c>
      <c r="C205">
        <v>90.76</v>
      </c>
      <c r="D205" s="2">
        <f t="shared" si="15"/>
        <v>293.27855555555556</v>
      </c>
    </row>
    <row r="206" spans="1:4" x14ac:dyDescent="0.2">
      <c r="A206">
        <v>51</v>
      </c>
      <c r="B206">
        <f t="shared" si="14"/>
        <v>510</v>
      </c>
      <c r="C206">
        <v>90.54</v>
      </c>
      <c r="D206" s="2">
        <f t="shared" si="15"/>
        <v>293.05855555555559</v>
      </c>
    </row>
    <row r="207" spans="1:4" x14ac:dyDescent="0.2">
      <c r="A207">
        <v>52</v>
      </c>
      <c r="B207">
        <f t="shared" si="14"/>
        <v>520</v>
      </c>
      <c r="C207">
        <v>90.34</v>
      </c>
      <c r="D207" s="2">
        <f t="shared" si="15"/>
        <v>292.85855555555554</v>
      </c>
    </row>
    <row r="208" spans="1:4" x14ac:dyDescent="0.2">
      <c r="A208">
        <v>53</v>
      </c>
      <c r="B208">
        <f t="shared" si="14"/>
        <v>530</v>
      </c>
      <c r="C208">
        <v>90.18</v>
      </c>
      <c r="D208" s="2">
        <f t="shared" si="15"/>
        <v>292.69855555555557</v>
      </c>
    </row>
    <row r="209" spans="1:4" x14ac:dyDescent="0.2">
      <c r="A209">
        <v>54</v>
      </c>
      <c r="B209">
        <f t="shared" si="14"/>
        <v>540</v>
      </c>
      <c r="C209">
        <v>90.04</v>
      </c>
      <c r="D209" s="2">
        <f t="shared" si="15"/>
        <v>292.55855555555559</v>
      </c>
    </row>
    <row r="210" spans="1:4" x14ac:dyDescent="0.2">
      <c r="A210">
        <v>55</v>
      </c>
      <c r="B210">
        <f t="shared" si="14"/>
        <v>550</v>
      </c>
      <c r="C210">
        <v>89.92</v>
      </c>
      <c r="D210" s="2">
        <f t="shared" si="15"/>
        <v>292.43855555555558</v>
      </c>
    </row>
    <row r="211" spans="1:4" x14ac:dyDescent="0.2">
      <c r="A211">
        <v>56</v>
      </c>
      <c r="B211">
        <f t="shared" si="14"/>
        <v>560</v>
      </c>
      <c r="C211">
        <v>89.83</v>
      </c>
      <c r="D211" s="2">
        <f t="shared" si="15"/>
        <v>292.34855555555555</v>
      </c>
    </row>
    <row r="212" spans="1:4" x14ac:dyDescent="0.2">
      <c r="A212">
        <v>57</v>
      </c>
      <c r="B212">
        <f t="shared" si="14"/>
        <v>570</v>
      </c>
      <c r="C212">
        <v>89.59</v>
      </c>
      <c r="D212" s="2">
        <f t="shared" si="15"/>
        <v>292.10855555555554</v>
      </c>
    </row>
    <row r="213" spans="1:4" x14ac:dyDescent="0.2">
      <c r="A213">
        <v>58</v>
      </c>
      <c r="B213">
        <f t="shared" si="14"/>
        <v>580</v>
      </c>
      <c r="C213">
        <v>89.35</v>
      </c>
      <c r="D213" s="2">
        <f t="shared" si="15"/>
        <v>291.86855555555553</v>
      </c>
    </row>
    <row r="214" spans="1:4" x14ac:dyDescent="0.2">
      <c r="A214">
        <v>59</v>
      </c>
      <c r="B214">
        <f t="shared" si="14"/>
        <v>590</v>
      </c>
      <c r="C214">
        <v>89.11</v>
      </c>
      <c r="D214" s="2">
        <f t="shared" si="15"/>
        <v>291.62855555555558</v>
      </c>
    </row>
    <row r="215" spans="1:4" x14ac:dyDescent="0.2">
      <c r="A215">
        <v>60</v>
      </c>
      <c r="B215">
        <f t="shared" si="14"/>
        <v>600</v>
      </c>
      <c r="C215">
        <v>88.85</v>
      </c>
      <c r="D215" s="2">
        <f t="shared" si="15"/>
        <v>291.36855555555553</v>
      </c>
    </row>
    <row r="216" spans="1:4" x14ac:dyDescent="0.2">
      <c r="A216">
        <v>61</v>
      </c>
      <c r="B216">
        <f t="shared" si="14"/>
        <v>610</v>
      </c>
      <c r="C216">
        <v>88.82</v>
      </c>
      <c r="D216" s="2">
        <f t="shared" si="15"/>
        <v>291.33855555555556</v>
      </c>
    </row>
    <row r="217" spans="1:4" x14ac:dyDescent="0.2">
      <c r="A217">
        <v>62</v>
      </c>
      <c r="B217">
        <f t="shared" si="14"/>
        <v>620</v>
      </c>
      <c r="C217">
        <v>89.3</v>
      </c>
      <c r="D217" s="2">
        <f t="shared" si="15"/>
        <v>291.81855555555558</v>
      </c>
    </row>
    <row r="218" spans="1:4" x14ac:dyDescent="0.2">
      <c r="A218">
        <v>63</v>
      </c>
      <c r="B218">
        <f t="shared" si="14"/>
        <v>630</v>
      </c>
      <c r="C218">
        <v>89.04</v>
      </c>
      <c r="D218" s="2">
        <f t="shared" si="15"/>
        <v>291.55855555555559</v>
      </c>
    </row>
    <row r="219" spans="1:4" x14ac:dyDescent="0.2">
      <c r="A219">
        <v>64</v>
      </c>
      <c r="B219">
        <f t="shared" si="14"/>
        <v>640</v>
      </c>
      <c r="C219">
        <v>88.79</v>
      </c>
      <c r="D219" s="2">
        <f t="shared" si="15"/>
        <v>291.30855555555559</v>
      </c>
    </row>
    <row r="220" spans="1:4" x14ac:dyDescent="0.2">
      <c r="A220">
        <v>65</v>
      </c>
      <c r="B220">
        <f t="shared" si="14"/>
        <v>650</v>
      </c>
      <c r="C220">
        <v>88.53</v>
      </c>
      <c r="D220" s="2">
        <f t="shared" si="15"/>
        <v>291.04855555555559</v>
      </c>
    </row>
    <row r="221" spans="1:4" x14ac:dyDescent="0.2">
      <c r="A221">
        <v>66</v>
      </c>
      <c r="B221">
        <f t="shared" si="14"/>
        <v>660</v>
      </c>
      <c r="C221">
        <v>88.27</v>
      </c>
      <c r="D221" s="2">
        <f t="shared" si="15"/>
        <v>290.78855555555555</v>
      </c>
    </row>
    <row r="222" spans="1:4" x14ac:dyDescent="0.2">
      <c r="A222">
        <v>67</v>
      </c>
      <c r="B222">
        <f t="shared" si="14"/>
        <v>670</v>
      </c>
      <c r="C222">
        <v>88.02</v>
      </c>
      <c r="D222" s="2">
        <f t="shared" si="15"/>
        <v>290.53855555555555</v>
      </c>
    </row>
    <row r="223" spans="1:4" x14ac:dyDescent="0.2">
      <c r="A223">
        <v>68</v>
      </c>
      <c r="B223">
        <f t="shared" si="14"/>
        <v>680</v>
      </c>
      <c r="C223">
        <v>87.77</v>
      </c>
      <c r="D223" s="2">
        <f t="shared" si="15"/>
        <v>290.28855555555555</v>
      </c>
    </row>
    <row r="224" spans="1:4" x14ac:dyDescent="0.2">
      <c r="A224">
        <v>69</v>
      </c>
      <c r="B224">
        <f t="shared" si="14"/>
        <v>690</v>
      </c>
      <c r="C224">
        <v>87.52</v>
      </c>
      <c r="D224" s="2">
        <f t="shared" si="15"/>
        <v>290.03855555555555</v>
      </c>
    </row>
    <row r="225" spans="1:4" x14ac:dyDescent="0.2">
      <c r="A225">
        <v>70</v>
      </c>
      <c r="B225">
        <f t="shared" si="14"/>
        <v>700</v>
      </c>
      <c r="C225">
        <v>87.28</v>
      </c>
      <c r="D225" s="2">
        <f t="shared" si="15"/>
        <v>289.79855555555559</v>
      </c>
    </row>
    <row r="226" spans="1:4" x14ac:dyDescent="0.2">
      <c r="A226">
        <v>71</v>
      </c>
      <c r="B226">
        <f t="shared" si="14"/>
        <v>710</v>
      </c>
      <c r="C226">
        <v>87.02</v>
      </c>
      <c r="D226" s="2">
        <f t="shared" si="15"/>
        <v>289.53855555555555</v>
      </c>
    </row>
    <row r="227" spans="1:4" x14ac:dyDescent="0.2">
      <c r="A227">
        <v>72</v>
      </c>
      <c r="B227">
        <f t="shared" si="14"/>
        <v>720</v>
      </c>
      <c r="C227">
        <v>86.78</v>
      </c>
      <c r="D227" s="2">
        <f t="shared" si="15"/>
        <v>289.29855555555559</v>
      </c>
    </row>
    <row r="228" spans="1:4" x14ac:dyDescent="0.2">
      <c r="A228">
        <v>73</v>
      </c>
      <c r="B228">
        <f t="shared" si="14"/>
        <v>730</v>
      </c>
      <c r="C228">
        <v>86.53</v>
      </c>
      <c r="D228" s="2">
        <f t="shared" si="15"/>
        <v>289.04855555555559</v>
      </c>
    </row>
    <row r="229" spans="1:4" x14ac:dyDescent="0.2">
      <c r="A229">
        <v>74</v>
      </c>
      <c r="B229">
        <f t="shared" si="14"/>
        <v>740</v>
      </c>
      <c r="C229">
        <v>86.34</v>
      </c>
      <c r="D229" s="2">
        <f t="shared" si="15"/>
        <v>288.85855555555554</v>
      </c>
    </row>
    <row r="230" spans="1:4" x14ac:dyDescent="0.2">
      <c r="A230">
        <v>75</v>
      </c>
      <c r="B230">
        <f t="shared" si="14"/>
        <v>750</v>
      </c>
      <c r="C230">
        <v>86.05</v>
      </c>
      <c r="D230" s="2">
        <f t="shared" si="15"/>
        <v>288.56855555555558</v>
      </c>
    </row>
    <row r="231" spans="1:4" x14ac:dyDescent="0.2">
      <c r="A231">
        <v>76</v>
      </c>
      <c r="B231">
        <f t="shared" si="14"/>
        <v>760</v>
      </c>
      <c r="C231">
        <v>85.88</v>
      </c>
      <c r="D231" s="2">
        <f t="shared" si="15"/>
        <v>288.39855555555556</v>
      </c>
    </row>
    <row r="232" spans="1:4" x14ac:dyDescent="0.2">
      <c r="A232">
        <v>77</v>
      </c>
      <c r="B232">
        <f t="shared" si="14"/>
        <v>770</v>
      </c>
      <c r="C232">
        <v>85.65</v>
      </c>
      <c r="D232" s="2">
        <f t="shared" si="15"/>
        <v>288.1685555555556</v>
      </c>
    </row>
    <row r="233" spans="1:4" x14ac:dyDescent="0.2">
      <c r="A233">
        <v>78</v>
      </c>
      <c r="B233">
        <f t="shared" si="14"/>
        <v>780</v>
      </c>
      <c r="C233">
        <v>85.53</v>
      </c>
      <c r="D233" s="2">
        <f t="shared" si="15"/>
        <v>288.04855555555559</v>
      </c>
    </row>
    <row r="234" spans="1:4" x14ac:dyDescent="0.2">
      <c r="A234">
        <v>79</v>
      </c>
      <c r="B234">
        <f t="shared" si="14"/>
        <v>790</v>
      </c>
      <c r="C234">
        <v>85.09</v>
      </c>
      <c r="D234" s="2">
        <f t="shared" si="15"/>
        <v>287.60855555555554</v>
      </c>
    </row>
    <row r="235" spans="1:4" x14ac:dyDescent="0.2">
      <c r="A235">
        <v>80</v>
      </c>
      <c r="B235">
        <f t="shared" si="14"/>
        <v>800</v>
      </c>
      <c r="C235">
        <v>84.83</v>
      </c>
      <c r="D235" s="2">
        <f t="shared" si="15"/>
        <v>287.34855555555555</v>
      </c>
    </row>
    <row r="236" spans="1:4" x14ac:dyDescent="0.2">
      <c r="A236">
        <v>81</v>
      </c>
      <c r="B236">
        <f t="shared" si="14"/>
        <v>810</v>
      </c>
      <c r="C236">
        <v>84.6</v>
      </c>
      <c r="D236" s="2">
        <f t="shared" si="15"/>
        <v>287.11855555555553</v>
      </c>
    </row>
    <row r="237" spans="1:4" x14ac:dyDescent="0.2">
      <c r="A237">
        <v>82</v>
      </c>
      <c r="B237">
        <f t="shared" si="14"/>
        <v>820</v>
      </c>
      <c r="C237">
        <v>84.41</v>
      </c>
      <c r="D237" s="2">
        <f t="shared" si="15"/>
        <v>286.92855555555559</v>
      </c>
    </row>
    <row r="238" spans="1:4" x14ac:dyDescent="0.2">
      <c r="A238">
        <v>83</v>
      </c>
      <c r="B238">
        <f t="shared" si="14"/>
        <v>830</v>
      </c>
      <c r="C238">
        <v>84.23</v>
      </c>
      <c r="D238" s="2">
        <f t="shared" si="15"/>
        <v>286.74855555555558</v>
      </c>
    </row>
    <row r="239" spans="1:4" x14ac:dyDescent="0.2">
      <c r="A239">
        <v>84</v>
      </c>
      <c r="B239">
        <f t="shared" si="14"/>
        <v>840</v>
      </c>
      <c r="C239">
        <v>84.08</v>
      </c>
      <c r="D239" s="2">
        <f t="shared" si="15"/>
        <v>286.59855555555555</v>
      </c>
    </row>
    <row r="240" spans="1:4" x14ac:dyDescent="0.2">
      <c r="A240">
        <v>85</v>
      </c>
      <c r="B240">
        <f t="shared" ref="B240:B247" si="16">A240*10</f>
        <v>850</v>
      </c>
      <c r="C240">
        <v>84.18</v>
      </c>
      <c r="D240" s="2">
        <f t="shared" ref="D240:D247" si="17">C240+((-0.7286*$C$6)+227.21)</f>
        <v>286.69855555555557</v>
      </c>
    </row>
    <row r="241" spans="1:8" x14ac:dyDescent="0.2">
      <c r="A241">
        <v>86</v>
      </c>
      <c r="B241">
        <f t="shared" si="16"/>
        <v>860</v>
      </c>
      <c r="C241">
        <v>84.28</v>
      </c>
      <c r="D241" s="2">
        <f t="shared" si="17"/>
        <v>286.79855555555559</v>
      </c>
    </row>
    <row r="242" spans="1:8" x14ac:dyDescent="0.2">
      <c r="A242">
        <v>87</v>
      </c>
      <c r="B242">
        <f t="shared" si="16"/>
        <v>870</v>
      </c>
      <c r="C242">
        <v>84.11</v>
      </c>
      <c r="D242" s="2">
        <f t="shared" si="17"/>
        <v>286.62855555555558</v>
      </c>
    </row>
    <row r="243" spans="1:8" x14ac:dyDescent="0.2">
      <c r="A243">
        <v>88</v>
      </c>
      <c r="B243">
        <f t="shared" si="16"/>
        <v>880</v>
      </c>
      <c r="C243">
        <v>83.86</v>
      </c>
      <c r="D243" s="2">
        <f t="shared" si="17"/>
        <v>286.37855555555558</v>
      </c>
    </row>
    <row r="244" spans="1:8" x14ac:dyDescent="0.2">
      <c r="A244">
        <v>89</v>
      </c>
      <c r="B244">
        <f t="shared" si="16"/>
        <v>890</v>
      </c>
      <c r="C244">
        <v>83.85</v>
      </c>
      <c r="D244" s="2">
        <f t="shared" si="17"/>
        <v>286.36855555555553</v>
      </c>
    </row>
    <row r="245" spans="1:8" x14ac:dyDescent="0.2">
      <c r="A245">
        <v>90</v>
      </c>
      <c r="B245">
        <f t="shared" si="16"/>
        <v>900</v>
      </c>
      <c r="C245">
        <v>83.88</v>
      </c>
      <c r="D245" s="2">
        <f t="shared" si="17"/>
        <v>286.39855555555556</v>
      </c>
    </row>
    <row r="246" spans="1:8" x14ac:dyDescent="0.2">
      <c r="A246">
        <v>91</v>
      </c>
      <c r="B246">
        <f t="shared" si="16"/>
        <v>910</v>
      </c>
      <c r="C246">
        <v>83.7</v>
      </c>
      <c r="D246" s="2">
        <f t="shared" si="17"/>
        <v>286.21855555555555</v>
      </c>
    </row>
    <row r="247" spans="1:8" x14ac:dyDescent="0.2">
      <c r="A247">
        <v>92</v>
      </c>
      <c r="B247">
        <f t="shared" si="16"/>
        <v>920</v>
      </c>
      <c r="C247">
        <v>83.53</v>
      </c>
      <c r="D247" s="2">
        <f t="shared" si="17"/>
        <v>286.04855555555559</v>
      </c>
    </row>
    <row r="249" spans="1:8" x14ac:dyDescent="0.2">
      <c r="A249" t="s">
        <v>20</v>
      </c>
    </row>
    <row r="250" spans="1:8" x14ac:dyDescent="0.2">
      <c r="A250" t="s">
        <v>9</v>
      </c>
      <c r="B250" t="s">
        <v>10</v>
      </c>
      <c r="C250" t="s">
        <v>11</v>
      </c>
      <c r="D250" t="s">
        <v>12</v>
      </c>
      <c r="E250" t="s">
        <v>14</v>
      </c>
      <c r="F250" t="s">
        <v>13</v>
      </c>
      <c r="G250" t="s">
        <v>18</v>
      </c>
      <c r="H250" t="s">
        <v>5</v>
      </c>
    </row>
    <row r="251" spans="1:8" x14ac:dyDescent="0.2">
      <c r="A251">
        <v>20</v>
      </c>
      <c r="B251">
        <f>A251*10</f>
        <v>200</v>
      </c>
      <c r="C251">
        <v>-3.0000000000000001E-3</v>
      </c>
      <c r="D251" s="2">
        <f>C251+((-0.7286*$C$7)+227.21)</f>
        <v>204.13466666666667</v>
      </c>
      <c r="E251" s="2">
        <f>AVERAGE(C251:C323)</f>
        <v>22.527452054794523</v>
      </c>
      <c r="F251" s="2">
        <f>AVERAGE(D251:D323)</f>
        <v>226.66511872146114</v>
      </c>
      <c r="G251">
        <f>_xlfn.STDEV.S(D251:D323)</f>
        <v>22.379133343884515</v>
      </c>
      <c r="H251">
        <f>(G251/F251)*100</f>
        <v>9.8732144893388973</v>
      </c>
    </row>
    <row r="252" spans="1:8" x14ac:dyDescent="0.2">
      <c r="A252">
        <v>21</v>
      </c>
      <c r="B252">
        <f t="shared" ref="B252:B315" si="18">A252*10</f>
        <v>210</v>
      </c>
      <c r="C252">
        <v>2.8000000000000001E-2</v>
      </c>
      <c r="D252" s="2">
        <f t="shared" ref="D252:D315" si="19">C252+((-0.7286*$C$7)+227.21)</f>
        <v>204.16566666666665</v>
      </c>
    </row>
    <row r="253" spans="1:8" x14ac:dyDescent="0.2">
      <c r="A253">
        <v>22</v>
      </c>
      <c r="B253">
        <f t="shared" si="18"/>
        <v>220</v>
      </c>
      <c r="C253">
        <v>-2E-3</v>
      </c>
      <c r="D253" s="2">
        <f t="shared" si="19"/>
        <v>204.13566666666665</v>
      </c>
    </row>
    <row r="254" spans="1:8" x14ac:dyDescent="0.2">
      <c r="A254">
        <v>23</v>
      </c>
      <c r="B254">
        <f t="shared" si="18"/>
        <v>230</v>
      </c>
      <c r="C254">
        <v>7.0000000000000001E-3</v>
      </c>
      <c r="D254" s="2">
        <f t="shared" si="19"/>
        <v>204.14466666666667</v>
      </c>
    </row>
    <row r="255" spans="1:8" x14ac:dyDescent="0.2">
      <c r="A255">
        <v>24</v>
      </c>
      <c r="B255">
        <f t="shared" si="18"/>
        <v>240</v>
      </c>
      <c r="C255">
        <v>5.0000000000000001E-3</v>
      </c>
      <c r="D255" s="2">
        <f t="shared" si="19"/>
        <v>204.14266666666666</v>
      </c>
    </row>
    <row r="256" spans="1:8" x14ac:dyDescent="0.2">
      <c r="A256">
        <v>25</v>
      </c>
      <c r="B256">
        <f t="shared" si="18"/>
        <v>250</v>
      </c>
      <c r="C256">
        <v>-1E-3</v>
      </c>
      <c r="D256" s="2">
        <f t="shared" si="19"/>
        <v>204.13666666666666</v>
      </c>
    </row>
    <row r="257" spans="1:4" x14ac:dyDescent="0.2">
      <c r="A257">
        <v>26</v>
      </c>
      <c r="B257">
        <f t="shared" si="18"/>
        <v>260</v>
      </c>
      <c r="C257">
        <v>4.0000000000000001E-3</v>
      </c>
      <c r="D257" s="2">
        <f t="shared" si="19"/>
        <v>204.14166666666665</v>
      </c>
    </row>
    <row r="258" spans="1:4" x14ac:dyDescent="0.2">
      <c r="A258">
        <v>27</v>
      </c>
      <c r="B258">
        <f t="shared" si="18"/>
        <v>270</v>
      </c>
      <c r="C258">
        <v>0</v>
      </c>
      <c r="D258" s="2">
        <f t="shared" si="19"/>
        <v>204.13766666666666</v>
      </c>
    </row>
    <row r="259" spans="1:4" x14ac:dyDescent="0.2">
      <c r="A259">
        <v>28</v>
      </c>
      <c r="B259">
        <f t="shared" si="18"/>
        <v>280</v>
      </c>
      <c r="C259">
        <v>1E-3</v>
      </c>
      <c r="D259" s="2">
        <f t="shared" si="19"/>
        <v>204.13866666666667</v>
      </c>
    </row>
    <row r="260" spans="1:4" x14ac:dyDescent="0.2">
      <c r="A260">
        <v>29</v>
      </c>
      <c r="B260">
        <f t="shared" si="18"/>
        <v>290</v>
      </c>
      <c r="C260">
        <v>-1E-3</v>
      </c>
      <c r="D260" s="2">
        <f t="shared" si="19"/>
        <v>204.13666666666666</v>
      </c>
    </row>
    <row r="261" spans="1:4" x14ac:dyDescent="0.2">
      <c r="A261">
        <v>30</v>
      </c>
      <c r="B261">
        <f t="shared" si="18"/>
        <v>300</v>
      </c>
      <c r="C261">
        <v>3.0000000000000001E-3</v>
      </c>
      <c r="D261" s="2">
        <f t="shared" si="19"/>
        <v>204.14066666666665</v>
      </c>
    </row>
    <row r="262" spans="1:4" x14ac:dyDescent="0.2">
      <c r="A262">
        <v>31</v>
      </c>
      <c r="B262">
        <f t="shared" si="18"/>
        <v>310</v>
      </c>
      <c r="C262">
        <v>2E-3</v>
      </c>
      <c r="D262" s="2">
        <f t="shared" si="19"/>
        <v>204.13966666666667</v>
      </c>
    </row>
    <row r="263" spans="1:4" x14ac:dyDescent="0.2">
      <c r="A263">
        <v>32</v>
      </c>
      <c r="B263">
        <f t="shared" si="18"/>
        <v>320</v>
      </c>
      <c r="C263">
        <v>0</v>
      </c>
      <c r="D263" s="2">
        <f t="shared" si="19"/>
        <v>204.13766666666666</v>
      </c>
    </row>
    <row r="264" spans="1:4" x14ac:dyDescent="0.2">
      <c r="A264">
        <v>33</v>
      </c>
      <c r="B264">
        <f t="shared" si="18"/>
        <v>330</v>
      </c>
      <c r="C264">
        <v>2E-3</v>
      </c>
      <c r="D264" s="2">
        <f t="shared" si="19"/>
        <v>204.13966666666667</v>
      </c>
    </row>
    <row r="265" spans="1:4" x14ac:dyDescent="0.2">
      <c r="A265">
        <v>34</v>
      </c>
      <c r="B265">
        <f t="shared" si="18"/>
        <v>340</v>
      </c>
      <c r="C265">
        <v>4.0000000000000001E-3</v>
      </c>
      <c r="D265" s="2">
        <f t="shared" si="19"/>
        <v>204.14166666666665</v>
      </c>
    </row>
    <row r="266" spans="1:4" x14ac:dyDescent="0.2">
      <c r="A266">
        <v>35</v>
      </c>
      <c r="B266">
        <f t="shared" si="18"/>
        <v>350</v>
      </c>
      <c r="C266">
        <v>5.0000000000000001E-3</v>
      </c>
      <c r="D266" s="2">
        <f t="shared" si="19"/>
        <v>204.14266666666666</v>
      </c>
    </row>
    <row r="267" spans="1:4" x14ac:dyDescent="0.2">
      <c r="A267">
        <v>36</v>
      </c>
      <c r="B267">
        <f t="shared" si="18"/>
        <v>360</v>
      </c>
      <c r="C267">
        <v>2E-3</v>
      </c>
      <c r="D267" s="2">
        <f t="shared" si="19"/>
        <v>204.13966666666667</v>
      </c>
    </row>
    <row r="268" spans="1:4" x14ac:dyDescent="0.2">
      <c r="A268">
        <v>37</v>
      </c>
      <c r="B268">
        <f t="shared" si="18"/>
        <v>370</v>
      </c>
      <c r="C268">
        <v>2E-3</v>
      </c>
      <c r="D268" s="2">
        <f t="shared" si="19"/>
        <v>204.13966666666667</v>
      </c>
    </row>
    <row r="269" spans="1:4" x14ac:dyDescent="0.2">
      <c r="A269">
        <v>38</v>
      </c>
      <c r="B269">
        <f t="shared" si="18"/>
        <v>380</v>
      </c>
      <c r="C269">
        <v>2E-3</v>
      </c>
      <c r="D269" s="2">
        <f t="shared" si="19"/>
        <v>204.13966666666667</v>
      </c>
    </row>
    <row r="270" spans="1:4" x14ac:dyDescent="0.2">
      <c r="A270">
        <v>39</v>
      </c>
      <c r="B270">
        <f t="shared" si="18"/>
        <v>390</v>
      </c>
      <c r="C270">
        <v>6.0000000000000001E-3</v>
      </c>
      <c r="D270" s="2">
        <f t="shared" si="19"/>
        <v>204.14366666666666</v>
      </c>
    </row>
    <row r="271" spans="1:4" x14ac:dyDescent="0.2">
      <c r="A271">
        <v>40</v>
      </c>
      <c r="B271">
        <f t="shared" si="18"/>
        <v>400</v>
      </c>
      <c r="C271">
        <v>-1E-3</v>
      </c>
      <c r="D271" s="2">
        <f t="shared" si="19"/>
        <v>204.13666666666666</v>
      </c>
    </row>
    <row r="272" spans="1:4" x14ac:dyDescent="0.2">
      <c r="A272">
        <v>41</v>
      </c>
      <c r="B272">
        <f t="shared" si="18"/>
        <v>410</v>
      </c>
      <c r="C272">
        <v>-5.0000000000000001E-3</v>
      </c>
      <c r="D272" s="2">
        <f t="shared" si="19"/>
        <v>204.13266666666667</v>
      </c>
    </row>
    <row r="273" spans="1:4" x14ac:dyDescent="0.2">
      <c r="A273">
        <v>42</v>
      </c>
      <c r="B273">
        <f t="shared" si="18"/>
        <v>420</v>
      </c>
      <c r="C273">
        <v>-1E-3</v>
      </c>
      <c r="D273" s="2">
        <f t="shared" si="19"/>
        <v>204.13666666666666</v>
      </c>
    </row>
    <row r="274" spans="1:4" x14ac:dyDescent="0.2">
      <c r="A274">
        <v>43</v>
      </c>
      <c r="B274">
        <f t="shared" si="18"/>
        <v>430</v>
      </c>
      <c r="C274">
        <v>6.0000000000000001E-3</v>
      </c>
      <c r="D274" s="2">
        <f t="shared" si="19"/>
        <v>204.14366666666666</v>
      </c>
    </row>
    <row r="275" spans="1:4" x14ac:dyDescent="0.2">
      <c r="A275">
        <v>44</v>
      </c>
      <c r="B275">
        <f t="shared" si="18"/>
        <v>440</v>
      </c>
      <c r="C275">
        <v>1E-3</v>
      </c>
      <c r="D275" s="2">
        <f t="shared" si="19"/>
        <v>204.13866666666667</v>
      </c>
    </row>
    <row r="276" spans="1:4" x14ac:dyDescent="0.2">
      <c r="A276">
        <v>45</v>
      </c>
      <c r="B276">
        <f t="shared" si="18"/>
        <v>450</v>
      </c>
      <c r="C276">
        <v>-3.0000000000000001E-3</v>
      </c>
      <c r="D276" s="2">
        <f t="shared" si="19"/>
        <v>204.13466666666667</v>
      </c>
    </row>
    <row r="277" spans="1:4" x14ac:dyDescent="0.2">
      <c r="A277">
        <v>46</v>
      </c>
      <c r="B277">
        <f t="shared" si="18"/>
        <v>460</v>
      </c>
      <c r="C277">
        <v>4.0000000000000001E-3</v>
      </c>
      <c r="D277" s="2">
        <f t="shared" si="19"/>
        <v>204.14166666666665</v>
      </c>
    </row>
    <row r="278" spans="1:4" x14ac:dyDescent="0.2">
      <c r="A278">
        <v>47</v>
      </c>
      <c r="B278">
        <f t="shared" si="18"/>
        <v>470</v>
      </c>
      <c r="C278">
        <v>7.0000000000000001E-3</v>
      </c>
      <c r="D278" s="2">
        <f t="shared" si="19"/>
        <v>204.14466666666667</v>
      </c>
    </row>
    <row r="279" spans="1:4" x14ac:dyDescent="0.2">
      <c r="A279">
        <v>48</v>
      </c>
      <c r="B279">
        <f t="shared" si="18"/>
        <v>480</v>
      </c>
      <c r="C279">
        <v>-1E-3</v>
      </c>
      <c r="D279" s="2">
        <f t="shared" si="19"/>
        <v>204.13666666666666</v>
      </c>
    </row>
    <row r="280" spans="1:4" x14ac:dyDescent="0.2">
      <c r="A280">
        <v>49</v>
      </c>
      <c r="B280">
        <f t="shared" si="18"/>
        <v>490</v>
      </c>
      <c r="C280">
        <v>-0.01</v>
      </c>
      <c r="D280" s="2">
        <f t="shared" si="19"/>
        <v>204.12766666666667</v>
      </c>
    </row>
    <row r="281" spans="1:4" x14ac:dyDescent="0.2">
      <c r="A281">
        <v>50</v>
      </c>
      <c r="B281">
        <f t="shared" si="18"/>
        <v>500</v>
      </c>
      <c r="C281">
        <v>-7.0000000000000001E-3</v>
      </c>
      <c r="D281" s="2">
        <f t="shared" si="19"/>
        <v>204.13066666666666</v>
      </c>
    </row>
    <row r="282" spans="1:4" x14ac:dyDescent="0.2">
      <c r="A282">
        <v>51</v>
      </c>
      <c r="B282">
        <f t="shared" si="18"/>
        <v>510</v>
      </c>
      <c r="C282">
        <v>4.2000000000000003E-2</v>
      </c>
      <c r="D282" s="2">
        <f t="shared" si="19"/>
        <v>204.17966666666666</v>
      </c>
    </row>
    <row r="283" spans="1:4" x14ac:dyDescent="0.2">
      <c r="A283">
        <v>52</v>
      </c>
      <c r="B283">
        <f t="shared" si="18"/>
        <v>520</v>
      </c>
      <c r="C283">
        <v>4.4290000000000003</v>
      </c>
      <c r="D283" s="2">
        <f t="shared" si="19"/>
        <v>208.56666666666666</v>
      </c>
    </row>
    <row r="284" spans="1:4" x14ac:dyDescent="0.2">
      <c r="A284">
        <v>53</v>
      </c>
      <c r="B284">
        <f t="shared" si="18"/>
        <v>530</v>
      </c>
      <c r="C284">
        <v>15.927</v>
      </c>
      <c r="D284" s="2">
        <f t="shared" si="19"/>
        <v>220.06466666666665</v>
      </c>
    </row>
    <row r="285" spans="1:4" x14ac:dyDescent="0.2">
      <c r="A285">
        <v>54</v>
      </c>
      <c r="B285">
        <f t="shared" si="18"/>
        <v>540</v>
      </c>
      <c r="C285">
        <v>14.371</v>
      </c>
      <c r="D285" s="2">
        <f t="shared" si="19"/>
        <v>218.50866666666667</v>
      </c>
    </row>
    <row r="286" spans="1:4" x14ac:dyDescent="0.2">
      <c r="A286">
        <v>55</v>
      </c>
      <c r="B286">
        <f t="shared" si="18"/>
        <v>550</v>
      </c>
      <c r="C286">
        <v>16.228999999999999</v>
      </c>
      <c r="D286" s="2">
        <f t="shared" si="19"/>
        <v>220.36666666666667</v>
      </c>
    </row>
    <row r="287" spans="1:4" x14ac:dyDescent="0.2">
      <c r="A287">
        <v>56</v>
      </c>
      <c r="B287">
        <f t="shared" si="18"/>
        <v>560</v>
      </c>
      <c r="C287">
        <v>17.736000000000001</v>
      </c>
      <c r="D287" s="2">
        <f t="shared" si="19"/>
        <v>221.87366666666665</v>
      </c>
    </row>
    <row r="288" spans="1:4" x14ac:dyDescent="0.2">
      <c r="A288">
        <v>57</v>
      </c>
      <c r="B288">
        <f t="shared" si="18"/>
        <v>570</v>
      </c>
      <c r="C288">
        <v>25.396000000000001</v>
      </c>
      <c r="D288" s="2">
        <f t="shared" si="19"/>
        <v>229.53366666666665</v>
      </c>
    </row>
    <row r="289" spans="1:4" x14ac:dyDescent="0.2">
      <c r="A289">
        <v>58</v>
      </c>
      <c r="B289">
        <f t="shared" si="18"/>
        <v>580</v>
      </c>
      <c r="C289">
        <v>28.097000000000001</v>
      </c>
      <c r="D289" s="2">
        <f t="shared" si="19"/>
        <v>232.23466666666667</v>
      </c>
    </row>
    <row r="290" spans="1:4" x14ac:dyDescent="0.2">
      <c r="A290">
        <v>59</v>
      </c>
      <c r="B290">
        <f t="shared" si="18"/>
        <v>590</v>
      </c>
      <c r="C290">
        <v>30.562000000000001</v>
      </c>
      <c r="D290" s="2">
        <f t="shared" si="19"/>
        <v>234.69966666666667</v>
      </c>
    </row>
    <row r="291" spans="1:4" x14ac:dyDescent="0.2">
      <c r="A291">
        <v>60</v>
      </c>
      <c r="B291">
        <f t="shared" si="18"/>
        <v>600</v>
      </c>
      <c r="C291">
        <v>30.553999999999998</v>
      </c>
      <c r="D291" s="2">
        <f t="shared" si="19"/>
        <v>234.69166666666666</v>
      </c>
    </row>
    <row r="292" spans="1:4" x14ac:dyDescent="0.2">
      <c r="A292">
        <v>61</v>
      </c>
      <c r="B292">
        <f t="shared" si="18"/>
        <v>610</v>
      </c>
      <c r="C292">
        <v>35.485999999999997</v>
      </c>
      <c r="D292" s="2">
        <f t="shared" si="19"/>
        <v>239.62366666666665</v>
      </c>
    </row>
    <row r="293" spans="1:4" x14ac:dyDescent="0.2">
      <c r="A293">
        <v>62</v>
      </c>
      <c r="B293">
        <f t="shared" si="18"/>
        <v>620</v>
      </c>
      <c r="C293">
        <v>36.692</v>
      </c>
      <c r="D293" s="2">
        <f t="shared" si="19"/>
        <v>240.82966666666667</v>
      </c>
    </row>
    <row r="294" spans="1:4" x14ac:dyDescent="0.2">
      <c r="A294">
        <v>63</v>
      </c>
      <c r="B294">
        <f t="shared" si="18"/>
        <v>630</v>
      </c>
      <c r="C294">
        <v>34.256</v>
      </c>
      <c r="D294" s="2">
        <f t="shared" si="19"/>
        <v>238.39366666666666</v>
      </c>
    </row>
    <row r="295" spans="1:4" x14ac:dyDescent="0.2">
      <c r="A295">
        <v>64</v>
      </c>
      <c r="B295">
        <f t="shared" si="18"/>
        <v>640</v>
      </c>
      <c r="C295">
        <v>35.521000000000001</v>
      </c>
      <c r="D295" s="2">
        <f t="shared" si="19"/>
        <v>239.65866666666665</v>
      </c>
    </row>
    <row r="296" spans="1:4" x14ac:dyDescent="0.2">
      <c r="A296">
        <v>65</v>
      </c>
      <c r="B296">
        <f t="shared" si="18"/>
        <v>650</v>
      </c>
      <c r="C296">
        <v>36.170999999999999</v>
      </c>
      <c r="D296" s="2">
        <f t="shared" si="19"/>
        <v>240.30866666666665</v>
      </c>
    </row>
    <row r="297" spans="1:4" x14ac:dyDescent="0.2">
      <c r="A297">
        <v>66</v>
      </c>
      <c r="B297">
        <f t="shared" si="18"/>
        <v>660</v>
      </c>
      <c r="C297">
        <v>37.246000000000002</v>
      </c>
      <c r="D297" s="2">
        <f t="shared" si="19"/>
        <v>241.38366666666667</v>
      </c>
    </row>
    <row r="298" spans="1:4" x14ac:dyDescent="0.2">
      <c r="A298">
        <v>67</v>
      </c>
      <c r="B298">
        <f t="shared" si="18"/>
        <v>670</v>
      </c>
      <c r="C298">
        <v>38.484999999999999</v>
      </c>
      <c r="D298" s="2">
        <f t="shared" si="19"/>
        <v>242.62266666666665</v>
      </c>
    </row>
    <row r="299" spans="1:4" x14ac:dyDescent="0.2">
      <c r="A299">
        <v>68</v>
      </c>
      <c r="B299">
        <f t="shared" si="18"/>
        <v>680</v>
      </c>
      <c r="C299">
        <v>40.442</v>
      </c>
      <c r="D299" s="2">
        <f t="shared" si="19"/>
        <v>244.57966666666667</v>
      </c>
    </row>
    <row r="300" spans="1:4" x14ac:dyDescent="0.2">
      <c r="A300">
        <v>69</v>
      </c>
      <c r="B300">
        <f t="shared" si="18"/>
        <v>690</v>
      </c>
      <c r="C300">
        <v>40.317999999999998</v>
      </c>
      <c r="D300" s="2">
        <f t="shared" si="19"/>
        <v>244.45566666666667</v>
      </c>
    </row>
    <row r="301" spans="1:4" x14ac:dyDescent="0.2">
      <c r="A301">
        <v>70</v>
      </c>
      <c r="B301">
        <f t="shared" si="18"/>
        <v>700</v>
      </c>
      <c r="C301">
        <v>40.582999999999998</v>
      </c>
      <c r="D301" s="2">
        <f t="shared" si="19"/>
        <v>244.72066666666666</v>
      </c>
    </row>
    <row r="302" spans="1:4" x14ac:dyDescent="0.2">
      <c r="A302">
        <v>71</v>
      </c>
      <c r="B302">
        <f t="shared" si="18"/>
        <v>710</v>
      </c>
      <c r="C302">
        <v>39.817</v>
      </c>
      <c r="D302" s="2">
        <f t="shared" si="19"/>
        <v>243.95466666666667</v>
      </c>
    </row>
    <row r="303" spans="1:4" x14ac:dyDescent="0.2">
      <c r="A303">
        <v>72</v>
      </c>
      <c r="B303">
        <f t="shared" si="18"/>
        <v>720</v>
      </c>
      <c r="C303">
        <v>40.485999999999997</v>
      </c>
      <c r="D303" s="2">
        <f t="shared" si="19"/>
        <v>244.62366666666665</v>
      </c>
    </row>
    <row r="304" spans="1:4" x14ac:dyDescent="0.2">
      <c r="A304">
        <v>73</v>
      </c>
      <c r="B304">
        <f t="shared" si="18"/>
        <v>730</v>
      </c>
      <c r="C304">
        <v>38.927999999999997</v>
      </c>
      <c r="D304" s="2">
        <f t="shared" si="19"/>
        <v>243.06566666666666</v>
      </c>
    </row>
    <row r="305" spans="1:4" x14ac:dyDescent="0.2">
      <c r="A305">
        <v>74</v>
      </c>
      <c r="B305">
        <f t="shared" si="18"/>
        <v>740</v>
      </c>
      <c r="C305">
        <v>38.06</v>
      </c>
      <c r="D305" s="2">
        <f t="shared" si="19"/>
        <v>242.19766666666666</v>
      </c>
    </row>
    <row r="306" spans="1:4" x14ac:dyDescent="0.2">
      <c r="A306">
        <v>75</v>
      </c>
      <c r="B306">
        <f t="shared" si="18"/>
        <v>750</v>
      </c>
      <c r="C306">
        <v>38.628</v>
      </c>
      <c r="D306" s="2">
        <f t="shared" si="19"/>
        <v>242.76566666666668</v>
      </c>
    </row>
    <row r="307" spans="1:4" x14ac:dyDescent="0.2">
      <c r="A307">
        <v>76</v>
      </c>
      <c r="B307">
        <f t="shared" si="18"/>
        <v>760</v>
      </c>
      <c r="C307">
        <v>41.188000000000002</v>
      </c>
      <c r="D307" s="2">
        <f t="shared" si="19"/>
        <v>245.32566666666668</v>
      </c>
    </row>
    <row r="308" spans="1:4" x14ac:dyDescent="0.2">
      <c r="A308">
        <v>77</v>
      </c>
      <c r="B308">
        <f t="shared" si="18"/>
        <v>770</v>
      </c>
      <c r="C308">
        <v>44.853000000000002</v>
      </c>
      <c r="D308" s="2">
        <f t="shared" si="19"/>
        <v>248.99066666666667</v>
      </c>
    </row>
    <row r="309" spans="1:4" x14ac:dyDescent="0.2">
      <c r="A309">
        <v>78</v>
      </c>
      <c r="B309">
        <f t="shared" si="18"/>
        <v>780</v>
      </c>
      <c r="C309">
        <v>46.966999999999999</v>
      </c>
      <c r="D309" s="2">
        <f t="shared" si="19"/>
        <v>251.10466666666667</v>
      </c>
    </row>
    <row r="310" spans="1:4" x14ac:dyDescent="0.2">
      <c r="A310">
        <v>79</v>
      </c>
      <c r="B310">
        <f t="shared" si="18"/>
        <v>790</v>
      </c>
      <c r="C310">
        <v>48.323</v>
      </c>
      <c r="D310" s="2">
        <f t="shared" si="19"/>
        <v>252.46066666666667</v>
      </c>
    </row>
    <row r="311" spans="1:4" x14ac:dyDescent="0.2">
      <c r="A311">
        <v>80</v>
      </c>
      <c r="B311">
        <f t="shared" si="18"/>
        <v>800</v>
      </c>
      <c r="C311">
        <v>49.649000000000001</v>
      </c>
      <c r="D311" s="2">
        <f t="shared" si="19"/>
        <v>253.78666666666666</v>
      </c>
    </row>
    <row r="312" spans="1:4" x14ac:dyDescent="0.2">
      <c r="A312">
        <v>81</v>
      </c>
      <c r="B312">
        <f t="shared" si="18"/>
        <v>810</v>
      </c>
      <c r="C312">
        <v>51.826000000000001</v>
      </c>
      <c r="D312" s="2">
        <f t="shared" si="19"/>
        <v>255.96366666666665</v>
      </c>
    </row>
    <row r="313" spans="1:4" x14ac:dyDescent="0.2">
      <c r="A313">
        <v>82</v>
      </c>
      <c r="B313">
        <f t="shared" si="18"/>
        <v>820</v>
      </c>
      <c r="C313">
        <v>57.43</v>
      </c>
      <c r="D313" s="2">
        <f t="shared" si="19"/>
        <v>261.56766666666664</v>
      </c>
    </row>
    <row r="314" spans="1:4" x14ac:dyDescent="0.2">
      <c r="A314">
        <v>83</v>
      </c>
      <c r="B314">
        <f t="shared" si="18"/>
        <v>830</v>
      </c>
      <c r="C314">
        <v>58.49</v>
      </c>
      <c r="D314" s="2">
        <f t="shared" si="19"/>
        <v>262.62766666666664</v>
      </c>
    </row>
    <row r="315" spans="1:4" x14ac:dyDescent="0.2">
      <c r="A315">
        <v>84</v>
      </c>
      <c r="B315">
        <f t="shared" si="18"/>
        <v>840</v>
      </c>
      <c r="C315">
        <v>55.84</v>
      </c>
      <c r="D315" s="2">
        <f t="shared" si="19"/>
        <v>259.97766666666666</v>
      </c>
    </row>
    <row r="316" spans="1:4" x14ac:dyDescent="0.2">
      <c r="A316">
        <v>85</v>
      </c>
      <c r="B316">
        <f t="shared" ref="B316:B323" si="20">A316*10</f>
        <v>850</v>
      </c>
      <c r="C316">
        <v>55.35</v>
      </c>
      <c r="D316" s="2">
        <f t="shared" ref="D316:D323" si="21">C316+((-0.7286*$C$7)+227.21)</f>
        <v>259.48766666666666</v>
      </c>
    </row>
    <row r="317" spans="1:4" x14ac:dyDescent="0.2">
      <c r="A317">
        <v>86</v>
      </c>
      <c r="B317">
        <f t="shared" si="20"/>
        <v>860</v>
      </c>
      <c r="C317">
        <v>55.03</v>
      </c>
      <c r="D317" s="2">
        <f t="shared" si="21"/>
        <v>259.16766666666666</v>
      </c>
    </row>
    <row r="318" spans="1:4" x14ac:dyDescent="0.2">
      <c r="A318">
        <v>87</v>
      </c>
      <c r="B318">
        <f t="shared" si="20"/>
        <v>870</v>
      </c>
      <c r="C318">
        <v>53.78</v>
      </c>
      <c r="D318" s="2">
        <f t="shared" si="21"/>
        <v>257.91766666666666</v>
      </c>
    </row>
    <row r="319" spans="1:4" x14ac:dyDescent="0.2">
      <c r="A319">
        <v>88</v>
      </c>
      <c r="B319">
        <f t="shared" si="20"/>
        <v>880</v>
      </c>
      <c r="C319">
        <v>53.92</v>
      </c>
      <c r="D319" s="2">
        <f t="shared" si="21"/>
        <v>258.05766666666665</v>
      </c>
    </row>
    <row r="320" spans="1:4" x14ac:dyDescent="0.2">
      <c r="A320">
        <v>89</v>
      </c>
      <c r="B320">
        <f t="shared" si="20"/>
        <v>890</v>
      </c>
      <c r="C320">
        <v>53.64</v>
      </c>
      <c r="D320" s="2">
        <f t="shared" si="21"/>
        <v>257.77766666666668</v>
      </c>
    </row>
    <row r="321" spans="1:8" x14ac:dyDescent="0.2">
      <c r="A321">
        <v>90</v>
      </c>
      <c r="B321">
        <f t="shared" si="20"/>
        <v>900</v>
      </c>
      <c r="C321">
        <v>54.06</v>
      </c>
      <c r="D321" s="2">
        <f t="shared" si="21"/>
        <v>258.19766666666669</v>
      </c>
    </row>
    <row r="322" spans="1:8" x14ac:dyDescent="0.2">
      <c r="A322">
        <v>91</v>
      </c>
      <c r="B322">
        <f t="shared" si="20"/>
        <v>910</v>
      </c>
      <c r="C322">
        <v>54.24</v>
      </c>
      <c r="D322" s="2">
        <f t="shared" si="21"/>
        <v>258.37766666666664</v>
      </c>
    </row>
    <row r="323" spans="1:8" x14ac:dyDescent="0.2">
      <c r="A323">
        <v>92</v>
      </c>
      <c r="B323">
        <f t="shared" si="20"/>
        <v>920</v>
      </c>
      <c r="C323">
        <v>55.4</v>
      </c>
      <c r="D323" s="2">
        <f t="shared" si="21"/>
        <v>259.53766666666667</v>
      </c>
    </row>
    <row r="325" spans="1:8" x14ac:dyDescent="0.2">
      <c r="A325" t="s">
        <v>21</v>
      </c>
    </row>
    <row r="326" spans="1:8" x14ac:dyDescent="0.2">
      <c r="A326" t="s">
        <v>9</v>
      </c>
      <c r="B326" t="s">
        <v>10</v>
      </c>
      <c r="C326" t="s">
        <v>11</v>
      </c>
      <c r="D326" t="s">
        <v>12</v>
      </c>
      <c r="E326" t="s">
        <v>14</v>
      </c>
      <c r="F326" t="s">
        <v>13</v>
      </c>
      <c r="G326" t="s">
        <v>18</v>
      </c>
      <c r="H326" t="s">
        <v>5</v>
      </c>
    </row>
    <row r="327" spans="1:8" x14ac:dyDescent="0.2">
      <c r="A327">
        <v>20</v>
      </c>
      <c r="B327">
        <f>A327*10</f>
        <v>200</v>
      </c>
      <c r="C327">
        <v>10.476000000000001</v>
      </c>
      <c r="D327" s="2">
        <f>C327+((-0.7286*$C$8)+227.21)</f>
        <v>215.828</v>
      </c>
      <c r="E327" s="2">
        <f>AVERAGE(C327:C399)</f>
        <v>7.319698630136986</v>
      </c>
      <c r="F327" s="2">
        <f>AVERAGE(D327:D399)</f>
        <v>212.67169863013703</v>
      </c>
      <c r="G327">
        <f>_xlfn.STDEV.S(D327:D399)</f>
        <v>1.1708932094408797</v>
      </c>
      <c r="H327">
        <f>(G327/F327)*100</f>
        <v>0.55056371721430175</v>
      </c>
    </row>
    <row r="328" spans="1:8" x14ac:dyDescent="0.2">
      <c r="A328">
        <v>21</v>
      </c>
      <c r="B328">
        <f t="shared" ref="B328:B391" si="22">A328*10</f>
        <v>210</v>
      </c>
      <c r="C328">
        <v>10.191000000000001</v>
      </c>
      <c r="D328" s="2">
        <f t="shared" ref="D328:D391" si="23">C328+((-0.7286*$C$8)+227.21)</f>
        <v>215.54300000000001</v>
      </c>
    </row>
    <row r="329" spans="1:8" x14ac:dyDescent="0.2">
      <c r="A329">
        <v>22</v>
      </c>
      <c r="B329">
        <f t="shared" si="22"/>
        <v>220</v>
      </c>
      <c r="C329">
        <v>10.02</v>
      </c>
      <c r="D329" s="2">
        <f t="shared" si="23"/>
        <v>215.37200000000001</v>
      </c>
    </row>
    <row r="330" spans="1:8" x14ac:dyDescent="0.2">
      <c r="A330">
        <v>23</v>
      </c>
      <c r="B330">
        <f t="shared" si="22"/>
        <v>230</v>
      </c>
      <c r="C330">
        <v>9.7669999999999995</v>
      </c>
      <c r="D330" s="2">
        <f t="shared" si="23"/>
        <v>215.119</v>
      </c>
    </row>
    <row r="331" spans="1:8" x14ac:dyDescent="0.2">
      <c r="A331">
        <v>24</v>
      </c>
      <c r="B331">
        <f t="shared" si="22"/>
        <v>240</v>
      </c>
      <c r="C331">
        <v>9.3030000000000008</v>
      </c>
      <c r="D331" s="2">
        <f t="shared" si="23"/>
        <v>214.655</v>
      </c>
    </row>
    <row r="332" spans="1:8" x14ac:dyDescent="0.2">
      <c r="A332">
        <v>25</v>
      </c>
      <c r="B332">
        <f t="shared" si="22"/>
        <v>250</v>
      </c>
      <c r="C332">
        <v>9.2240000000000002</v>
      </c>
      <c r="D332" s="2">
        <f t="shared" si="23"/>
        <v>214.57599999999999</v>
      </c>
    </row>
    <row r="333" spans="1:8" x14ac:dyDescent="0.2">
      <c r="A333">
        <v>26</v>
      </c>
      <c r="B333">
        <f t="shared" si="22"/>
        <v>260</v>
      </c>
      <c r="C333">
        <v>9.0359999999999996</v>
      </c>
      <c r="D333" s="2">
        <f t="shared" si="23"/>
        <v>214.38800000000001</v>
      </c>
    </row>
    <row r="334" spans="1:8" x14ac:dyDescent="0.2">
      <c r="A334">
        <v>27</v>
      </c>
      <c r="B334">
        <f t="shared" si="22"/>
        <v>270</v>
      </c>
      <c r="C334">
        <v>8.8460000000000001</v>
      </c>
      <c r="D334" s="2">
        <f t="shared" si="23"/>
        <v>214.19800000000001</v>
      </c>
    </row>
    <row r="335" spans="1:8" x14ac:dyDescent="0.2">
      <c r="A335">
        <v>28</v>
      </c>
      <c r="B335">
        <f t="shared" si="22"/>
        <v>280</v>
      </c>
      <c r="C335">
        <v>8.7710000000000008</v>
      </c>
      <c r="D335" s="2">
        <f t="shared" si="23"/>
        <v>214.12299999999999</v>
      </c>
    </row>
    <row r="336" spans="1:8" x14ac:dyDescent="0.2">
      <c r="A336">
        <v>29</v>
      </c>
      <c r="B336">
        <f t="shared" si="22"/>
        <v>290</v>
      </c>
      <c r="C336">
        <v>8.5980000000000008</v>
      </c>
      <c r="D336" s="2">
        <f t="shared" si="23"/>
        <v>213.95000000000002</v>
      </c>
    </row>
    <row r="337" spans="1:4" x14ac:dyDescent="0.2">
      <c r="A337">
        <v>30</v>
      </c>
      <c r="B337">
        <f t="shared" si="22"/>
        <v>300</v>
      </c>
      <c r="C337">
        <v>8.5269999999999992</v>
      </c>
      <c r="D337" s="2">
        <f t="shared" si="23"/>
        <v>213.87899999999999</v>
      </c>
    </row>
    <row r="338" spans="1:4" x14ac:dyDescent="0.2">
      <c r="A338">
        <v>31</v>
      </c>
      <c r="B338">
        <f t="shared" si="22"/>
        <v>310</v>
      </c>
      <c r="C338">
        <v>8.5879999999999992</v>
      </c>
      <c r="D338" s="2">
        <f t="shared" si="23"/>
        <v>213.94</v>
      </c>
    </row>
    <row r="339" spans="1:4" x14ac:dyDescent="0.2">
      <c r="A339">
        <v>32</v>
      </c>
      <c r="B339">
        <f t="shared" si="22"/>
        <v>320</v>
      </c>
      <c r="C339">
        <v>8.673</v>
      </c>
      <c r="D339" s="2">
        <f t="shared" si="23"/>
        <v>214.02500000000001</v>
      </c>
    </row>
    <row r="340" spans="1:4" x14ac:dyDescent="0.2">
      <c r="A340">
        <v>33</v>
      </c>
      <c r="B340">
        <f t="shared" si="22"/>
        <v>330</v>
      </c>
      <c r="C340">
        <v>8.5809999999999995</v>
      </c>
      <c r="D340" s="2">
        <f t="shared" si="23"/>
        <v>213.93299999999999</v>
      </c>
    </row>
    <row r="341" spans="1:4" x14ac:dyDescent="0.2">
      <c r="A341">
        <v>34</v>
      </c>
      <c r="B341">
        <f t="shared" si="22"/>
        <v>340</v>
      </c>
      <c r="C341">
        <v>8.4770000000000003</v>
      </c>
      <c r="D341" s="2">
        <f t="shared" si="23"/>
        <v>213.82900000000001</v>
      </c>
    </row>
    <row r="342" spans="1:4" x14ac:dyDescent="0.2">
      <c r="A342">
        <v>35</v>
      </c>
      <c r="B342">
        <f t="shared" si="22"/>
        <v>350</v>
      </c>
      <c r="C342">
        <v>8.4149999999999991</v>
      </c>
      <c r="D342" s="2">
        <f t="shared" si="23"/>
        <v>213.767</v>
      </c>
    </row>
    <row r="343" spans="1:4" x14ac:dyDescent="0.2">
      <c r="A343">
        <v>36</v>
      </c>
      <c r="B343">
        <f t="shared" si="22"/>
        <v>360</v>
      </c>
      <c r="C343">
        <v>8.2970000000000006</v>
      </c>
      <c r="D343" s="2">
        <f t="shared" si="23"/>
        <v>213.649</v>
      </c>
    </row>
    <row r="344" spans="1:4" x14ac:dyDescent="0.2">
      <c r="A344">
        <v>37</v>
      </c>
      <c r="B344">
        <f t="shared" si="22"/>
        <v>370</v>
      </c>
      <c r="C344">
        <v>8.2989999999999995</v>
      </c>
      <c r="D344" s="2">
        <f t="shared" si="23"/>
        <v>213.65100000000001</v>
      </c>
    </row>
    <row r="345" spans="1:4" x14ac:dyDescent="0.2">
      <c r="A345">
        <v>38</v>
      </c>
      <c r="B345">
        <f t="shared" si="22"/>
        <v>380</v>
      </c>
      <c r="C345">
        <v>8.0500000000000007</v>
      </c>
      <c r="D345" s="2">
        <f t="shared" si="23"/>
        <v>213.40200000000002</v>
      </c>
    </row>
    <row r="346" spans="1:4" x14ac:dyDescent="0.2">
      <c r="A346">
        <v>39</v>
      </c>
      <c r="B346">
        <f t="shared" si="22"/>
        <v>390</v>
      </c>
      <c r="C346">
        <v>8.0380000000000003</v>
      </c>
      <c r="D346" s="2">
        <f t="shared" si="23"/>
        <v>213.39000000000001</v>
      </c>
    </row>
    <row r="347" spans="1:4" x14ac:dyDescent="0.2">
      <c r="A347">
        <v>40</v>
      </c>
      <c r="B347">
        <f t="shared" si="22"/>
        <v>400</v>
      </c>
      <c r="C347">
        <v>8.1549999999999994</v>
      </c>
      <c r="D347" s="2">
        <f t="shared" si="23"/>
        <v>213.50700000000001</v>
      </c>
    </row>
    <row r="348" spans="1:4" x14ac:dyDescent="0.2">
      <c r="A348">
        <v>41</v>
      </c>
      <c r="B348">
        <f t="shared" si="22"/>
        <v>410</v>
      </c>
      <c r="C348">
        <v>7.9960000000000004</v>
      </c>
      <c r="D348" s="2">
        <f t="shared" si="23"/>
        <v>213.34800000000001</v>
      </c>
    </row>
    <row r="349" spans="1:4" x14ac:dyDescent="0.2">
      <c r="A349">
        <v>42</v>
      </c>
      <c r="B349">
        <f t="shared" si="22"/>
        <v>420</v>
      </c>
      <c r="C349">
        <v>7.7709999999999999</v>
      </c>
      <c r="D349" s="2">
        <f t="shared" si="23"/>
        <v>213.12299999999999</v>
      </c>
    </row>
    <row r="350" spans="1:4" x14ac:dyDescent="0.2">
      <c r="A350">
        <v>43</v>
      </c>
      <c r="B350">
        <f t="shared" si="22"/>
        <v>430</v>
      </c>
      <c r="C350">
        <v>7.5910000000000002</v>
      </c>
      <c r="D350" s="2">
        <f t="shared" si="23"/>
        <v>212.94300000000001</v>
      </c>
    </row>
    <row r="351" spans="1:4" x14ac:dyDescent="0.2">
      <c r="A351">
        <v>44</v>
      </c>
      <c r="B351">
        <f t="shared" si="22"/>
        <v>440</v>
      </c>
      <c r="C351">
        <v>7.3470000000000004</v>
      </c>
      <c r="D351" s="2">
        <f t="shared" si="23"/>
        <v>212.69900000000001</v>
      </c>
    </row>
    <row r="352" spans="1:4" x14ac:dyDescent="0.2">
      <c r="A352">
        <v>45</v>
      </c>
      <c r="B352">
        <f t="shared" si="22"/>
        <v>450</v>
      </c>
      <c r="C352">
        <v>7.3</v>
      </c>
      <c r="D352" s="2">
        <f t="shared" si="23"/>
        <v>212.65200000000002</v>
      </c>
    </row>
    <row r="353" spans="1:4" x14ac:dyDescent="0.2">
      <c r="A353">
        <v>46</v>
      </c>
      <c r="B353">
        <f t="shared" si="22"/>
        <v>460</v>
      </c>
      <c r="C353">
        <v>7.3179999999999996</v>
      </c>
      <c r="D353" s="2">
        <f t="shared" si="23"/>
        <v>212.67000000000002</v>
      </c>
    </row>
    <row r="354" spans="1:4" x14ac:dyDescent="0.2">
      <c r="A354">
        <v>47</v>
      </c>
      <c r="B354">
        <f t="shared" si="22"/>
        <v>470</v>
      </c>
      <c r="C354">
        <v>7.3719999999999999</v>
      </c>
      <c r="D354" s="2">
        <f t="shared" si="23"/>
        <v>212.72399999999999</v>
      </c>
    </row>
    <row r="355" spans="1:4" x14ac:dyDescent="0.2">
      <c r="A355">
        <v>48</v>
      </c>
      <c r="B355">
        <f t="shared" si="22"/>
        <v>480</v>
      </c>
      <c r="C355">
        <v>7.3360000000000003</v>
      </c>
      <c r="D355" s="2">
        <f t="shared" si="23"/>
        <v>212.68800000000002</v>
      </c>
    </row>
    <row r="356" spans="1:4" x14ac:dyDescent="0.2">
      <c r="A356">
        <v>49</v>
      </c>
      <c r="B356">
        <f t="shared" si="22"/>
        <v>490</v>
      </c>
      <c r="C356">
        <v>7.2729999999999997</v>
      </c>
      <c r="D356" s="2">
        <f t="shared" si="23"/>
        <v>212.625</v>
      </c>
    </row>
    <row r="357" spans="1:4" x14ac:dyDescent="0.2">
      <c r="A357">
        <v>50</v>
      </c>
      <c r="B357">
        <f t="shared" si="22"/>
        <v>500</v>
      </c>
      <c r="C357">
        <v>7.44</v>
      </c>
      <c r="D357" s="2">
        <f t="shared" si="23"/>
        <v>212.792</v>
      </c>
    </row>
    <row r="358" spans="1:4" x14ac:dyDescent="0.2">
      <c r="A358">
        <v>51</v>
      </c>
      <c r="B358">
        <f t="shared" si="22"/>
        <v>510</v>
      </c>
      <c r="C358">
        <v>7.4640000000000004</v>
      </c>
      <c r="D358" s="2">
        <f t="shared" si="23"/>
        <v>212.816</v>
      </c>
    </row>
    <row r="359" spans="1:4" x14ac:dyDescent="0.2">
      <c r="A359">
        <v>52</v>
      </c>
      <c r="B359">
        <f t="shared" si="22"/>
        <v>520</v>
      </c>
      <c r="C359">
        <v>7.3109999999999999</v>
      </c>
      <c r="D359" s="2">
        <f t="shared" si="23"/>
        <v>212.66300000000001</v>
      </c>
    </row>
    <row r="360" spans="1:4" x14ac:dyDescent="0.2">
      <c r="A360">
        <v>53</v>
      </c>
      <c r="B360">
        <f t="shared" si="22"/>
        <v>530</v>
      </c>
      <c r="C360">
        <v>7.1040000000000001</v>
      </c>
      <c r="D360" s="2">
        <f t="shared" si="23"/>
        <v>212.45600000000002</v>
      </c>
    </row>
    <row r="361" spans="1:4" x14ac:dyDescent="0.2">
      <c r="A361">
        <v>54</v>
      </c>
      <c r="B361">
        <f t="shared" si="22"/>
        <v>540</v>
      </c>
      <c r="C361">
        <v>6.9059999999999997</v>
      </c>
      <c r="D361" s="2">
        <f t="shared" si="23"/>
        <v>212.25800000000001</v>
      </c>
    </row>
    <row r="362" spans="1:4" x14ac:dyDescent="0.2">
      <c r="A362">
        <v>55</v>
      </c>
      <c r="B362">
        <f t="shared" si="22"/>
        <v>550</v>
      </c>
      <c r="C362">
        <v>6.9269999999999996</v>
      </c>
      <c r="D362" s="2">
        <f t="shared" si="23"/>
        <v>212.279</v>
      </c>
    </row>
    <row r="363" spans="1:4" x14ac:dyDescent="0.2">
      <c r="A363">
        <v>56</v>
      </c>
      <c r="B363">
        <f t="shared" si="22"/>
        <v>560</v>
      </c>
      <c r="C363">
        <v>6.9720000000000004</v>
      </c>
      <c r="D363" s="2">
        <f t="shared" si="23"/>
        <v>212.32400000000001</v>
      </c>
    </row>
    <row r="364" spans="1:4" x14ac:dyDescent="0.2">
      <c r="A364">
        <v>57</v>
      </c>
      <c r="B364">
        <f t="shared" si="22"/>
        <v>570</v>
      </c>
      <c r="C364">
        <v>6.931</v>
      </c>
      <c r="D364" s="2">
        <f t="shared" si="23"/>
        <v>212.28300000000002</v>
      </c>
    </row>
    <row r="365" spans="1:4" x14ac:dyDescent="0.2">
      <c r="A365">
        <v>58</v>
      </c>
      <c r="B365">
        <f t="shared" si="22"/>
        <v>580</v>
      </c>
      <c r="C365">
        <v>6.8869999999999996</v>
      </c>
      <c r="D365" s="2">
        <f t="shared" si="23"/>
        <v>212.239</v>
      </c>
    </row>
    <row r="366" spans="1:4" x14ac:dyDescent="0.2">
      <c r="A366">
        <v>59</v>
      </c>
      <c r="B366">
        <f t="shared" si="22"/>
        <v>590</v>
      </c>
      <c r="C366">
        <v>6.774</v>
      </c>
      <c r="D366" s="2">
        <f t="shared" si="23"/>
        <v>212.126</v>
      </c>
    </row>
    <row r="367" spans="1:4" x14ac:dyDescent="0.2">
      <c r="A367">
        <v>60</v>
      </c>
      <c r="B367">
        <f t="shared" si="22"/>
        <v>600</v>
      </c>
      <c r="C367">
        <v>6.6989999999999998</v>
      </c>
      <c r="D367" s="2">
        <f t="shared" si="23"/>
        <v>212.05100000000002</v>
      </c>
    </row>
    <row r="368" spans="1:4" x14ac:dyDescent="0.2">
      <c r="A368">
        <v>61</v>
      </c>
      <c r="B368">
        <f t="shared" si="22"/>
        <v>610</v>
      </c>
      <c r="C368">
        <v>6.6790000000000003</v>
      </c>
      <c r="D368" s="2">
        <f t="shared" si="23"/>
        <v>212.03100000000001</v>
      </c>
    </row>
    <row r="369" spans="1:4" x14ac:dyDescent="0.2">
      <c r="A369">
        <v>62</v>
      </c>
      <c r="B369">
        <f t="shared" si="22"/>
        <v>620</v>
      </c>
      <c r="C369">
        <v>6.6420000000000003</v>
      </c>
      <c r="D369" s="2">
        <f t="shared" si="23"/>
        <v>211.994</v>
      </c>
    </row>
    <row r="370" spans="1:4" x14ac:dyDescent="0.2">
      <c r="A370">
        <v>63</v>
      </c>
      <c r="B370">
        <f t="shared" si="22"/>
        <v>630</v>
      </c>
      <c r="C370">
        <v>6.6509999999999998</v>
      </c>
      <c r="D370" s="2">
        <f t="shared" si="23"/>
        <v>212.00300000000001</v>
      </c>
    </row>
    <row r="371" spans="1:4" x14ac:dyDescent="0.2">
      <c r="A371">
        <v>64</v>
      </c>
      <c r="B371">
        <f t="shared" si="22"/>
        <v>640</v>
      </c>
      <c r="C371">
        <v>6.7590000000000003</v>
      </c>
      <c r="D371" s="2">
        <f t="shared" si="23"/>
        <v>212.11099999999999</v>
      </c>
    </row>
    <row r="372" spans="1:4" x14ac:dyDescent="0.2">
      <c r="A372">
        <v>65</v>
      </c>
      <c r="B372">
        <f t="shared" si="22"/>
        <v>650</v>
      </c>
      <c r="C372">
        <v>6.5220000000000002</v>
      </c>
      <c r="D372" s="2">
        <f t="shared" si="23"/>
        <v>211.874</v>
      </c>
    </row>
    <row r="373" spans="1:4" x14ac:dyDescent="0.2">
      <c r="A373">
        <v>66</v>
      </c>
      <c r="B373">
        <f t="shared" si="22"/>
        <v>660</v>
      </c>
      <c r="C373">
        <v>6.5919999999999996</v>
      </c>
      <c r="D373" s="2">
        <f t="shared" si="23"/>
        <v>211.94400000000002</v>
      </c>
    </row>
    <row r="374" spans="1:4" x14ac:dyDescent="0.2">
      <c r="A374">
        <v>67</v>
      </c>
      <c r="B374">
        <f t="shared" si="22"/>
        <v>670</v>
      </c>
      <c r="C374">
        <v>6.6210000000000004</v>
      </c>
      <c r="D374" s="2">
        <f t="shared" si="23"/>
        <v>211.97300000000001</v>
      </c>
    </row>
    <row r="375" spans="1:4" x14ac:dyDescent="0.2">
      <c r="A375">
        <v>68</v>
      </c>
      <c r="B375">
        <f t="shared" si="22"/>
        <v>680</v>
      </c>
      <c r="C375">
        <v>6.4649999999999999</v>
      </c>
      <c r="D375" s="2">
        <f t="shared" si="23"/>
        <v>211.81700000000001</v>
      </c>
    </row>
    <row r="376" spans="1:4" x14ac:dyDescent="0.2">
      <c r="A376">
        <v>69</v>
      </c>
      <c r="B376">
        <f t="shared" si="22"/>
        <v>690</v>
      </c>
      <c r="C376">
        <v>6.1950000000000003</v>
      </c>
      <c r="D376" s="2">
        <f t="shared" si="23"/>
        <v>211.547</v>
      </c>
    </row>
    <row r="377" spans="1:4" x14ac:dyDescent="0.2">
      <c r="A377">
        <v>70</v>
      </c>
      <c r="B377">
        <f t="shared" si="22"/>
        <v>700</v>
      </c>
      <c r="C377">
        <v>5.9</v>
      </c>
      <c r="D377" s="2">
        <f t="shared" si="23"/>
        <v>211.25200000000001</v>
      </c>
    </row>
    <row r="378" spans="1:4" x14ac:dyDescent="0.2">
      <c r="A378">
        <v>71</v>
      </c>
      <c r="B378">
        <f t="shared" si="22"/>
        <v>710</v>
      </c>
      <c r="C378">
        <v>5.6760000000000002</v>
      </c>
      <c r="D378" s="2">
        <f t="shared" si="23"/>
        <v>211.02799999999999</v>
      </c>
    </row>
    <row r="379" spans="1:4" x14ac:dyDescent="0.2">
      <c r="A379">
        <v>72</v>
      </c>
      <c r="B379">
        <f t="shared" si="22"/>
        <v>720</v>
      </c>
      <c r="C379">
        <v>5.4939999999999998</v>
      </c>
      <c r="D379" s="2">
        <f t="shared" si="23"/>
        <v>210.846</v>
      </c>
    </row>
    <row r="380" spans="1:4" x14ac:dyDescent="0.2">
      <c r="A380">
        <v>73</v>
      </c>
      <c r="B380">
        <f t="shared" si="22"/>
        <v>730</v>
      </c>
      <c r="C380">
        <v>5.3579999999999997</v>
      </c>
      <c r="D380" s="2">
        <f t="shared" si="23"/>
        <v>210.71</v>
      </c>
    </row>
    <row r="381" spans="1:4" x14ac:dyDescent="0.2">
      <c r="A381">
        <v>74</v>
      </c>
      <c r="B381">
        <f t="shared" si="22"/>
        <v>740</v>
      </c>
      <c r="C381">
        <v>5.6059999999999999</v>
      </c>
      <c r="D381" s="2">
        <f t="shared" si="23"/>
        <v>210.958</v>
      </c>
    </row>
    <row r="382" spans="1:4" x14ac:dyDescent="0.2">
      <c r="A382">
        <v>75</v>
      </c>
      <c r="B382">
        <f t="shared" si="22"/>
        <v>750</v>
      </c>
      <c r="C382">
        <v>5.6920000000000002</v>
      </c>
      <c r="D382" s="2">
        <f t="shared" si="23"/>
        <v>211.04400000000001</v>
      </c>
    </row>
    <row r="383" spans="1:4" x14ac:dyDescent="0.2">
      <c r="A383">
        <v>76</v>
      </c>
      <c r="B383">
        <f t="shared" si="22"/>
        <v>760</v>
      </c>
      <c r="C383">
        <v>5.6959999999999997</v>
      </c>
      <c r="D383" s="2">
        <f t="shared" si="23"/>
        <v>211.048</v>
      </c>
    </row>
    <row r="384" spans="1:4" x14ac:dyDescent="0.2">
      <c r="A384">
        <v>77</v>
      </c>
      <c r="B384">
        <f t="shared" si="22"/>
        <v>770</v>
      </c>
      <c r="C384">
        <v>6.008</v>
      </c>
      <c r="D384" s="2">
        <f t="shared" si="23"/>
        <v>211.36</v>
      </c>
    </row>
    <row r="385" spans="1:4" x14ac:dyDescent="0.2">
      <c r="A385">
        <v>78</v>
      </c>
      <c r="B385">
        <f t="shared" si="22"/>
        <v>780</v>
      </c>
      <c r="C385">
        <v>6.5090000000000003</v>
      </c>
      <c r="D385" s="2">
        <f t="shared" si="23"/>
        <v>211.86099999999999</v>
      </c>
    </row>
    <row r="386" spans="1:4" x14ac:dyDescent="0.2">
      <c r="A386">
        <v>79</v>
      </c>
      <c r="B386">
        <f t="shared" si="22"/>
        <v>790</v>
      </c>
      <c r="C386">
        <v>6.4989999999999997</v>
      </c>
      <c r="D386" s="2">
        <f t="shared" si="23"/>
        <v>211.851</v>
      </c>
    </row>
    <row r="387" spans="1:4" x14ac:dyDescent="0.2">
      <c r="A387">
        <v>80</v>
      </c>
      <c r="B387">
        <f t="shared" si="22"/>
        <v>800</v>
      </c>
      <c r="C387">
        <v>6.4809999999999999</v>
      </c>
      <c r="D387" s="2">
        <f t="shared" si="23"/>
        <v>211.833</v>
      </c>
    </row>
    <row r="388" spans="1:4" x14ac:dyDescent="0.2">
      <c r="A388">
        <v>81</v>
      </c>
      <c r="B388">
        <f t="shared" si="22"/>
        <v>810</v>
      </c>
      <c r="C388">
        <v>6.4349999999999996</v>
      </c>
      <c r="D388" s="2">
        <f t="shared" si="23"/>
        <v>211.78700000000001</v>
      </c>
    </row>
    <row r="389" spans="1:4" x14ac:dyDescent="0.2">
      <c r="A389">
        <v>82</v>
      </c>
      <c r="B389">
        <f t="shared" si="22"/>
        <v>820</v>
      </c>
      <c r="C389">
        <v>6.3879999999999999</v>
      </c>
      <c r="D389" s="2">
        <f t="shared" si="23"/>
        <v>211.74</v>
      </c>
    </row>
    <row r="390" spans="1:4" x14ac:dyDescent="0.2">
      <c r="A390">
        <v>83</v>
      </c>
      <c r="B390">
        <f t="shared" si="22"/>
        <v>830</v>
      </c>
      <c r="C390">
        <v>6.4690000000000003</v>
      </c>
      <c r="D390" s="2">
        <f t="shared" si="23"/>
        <v>211.821</v>
      </c>
    </row>
    <row r="391" spans="1:4" x14ac:dyDescent="0.2">
      <c r="A391">
        <v>84</v>
      </c>
      <c r="B391">
        <f t="shared" si="22"/>
        <v>840</v>
      </c>
      <c r="C391">
        <v>6.4989999999999997</v>
      </c>
      <c r="D391" s="2">
        <f t="shared" si="23"/>
        <v>211.851</v>
      </c>
    </row>
    <row r="392" spans="1:4" x14ac:dyDescent="0.2">
      <c r="A392">
        <v>85</v>
      </c>
      <c r="B392">
        <f t="shared" ref="B392:B399" si="24">A392*10</f>
        <v>850</v>
      </c>
      <c r="C392">
        <v>6.5839999999999996</v>
      </c>
      <c r="D392" s="2">
        <f t="shared" ref="D392:D399" si="25">C392+((-0.7286*$C$8)+227.21)</f>
        <v>211.93600000000001</v>
      </c>
    </row>
    <row r="393" spans="1:4" x14ac:dyDescent="0.2">
      <c r="A393">
        <v>86</v>
      </c>
      <c r="B393">
        <f t="shared" si="24"/>
        <v>860</v>
      </c>
      <c r="C393">
        <v>6.4530000000000003</v>
      </c>
      <c r="D393" s="2">
        <f t="shared" si="25"/>
        <v>211.80500000000001</v>
      </c>
    </row>
    <row r="394" spans="1:4" x14ac:dyDescent="0.2">
      <c r="A394">
        <v>87</v>
      </c>
      <c r="B394">
        <f t="shared" si="24"/>
        <v>870</v>
      </c>
      <c r="C394">
        <v>6.5709999999999997</v>
      </c>
      <c r="D394" s="2">
        <f t="shared" si="25"/>
        <v>211.923</v>
      </c>
    </row>
    <row r="395" spans="1:4" x14ac:dyDescent="0.2">
      <c r="A395">
        <v>88</v>
      </c>
      <c r="B395">
        <f t="shared" si="24"/>
        <v>880</v>
      </c>
      <c r="C395">
        <v>6.6</v>
      </c>
      <c r="D395" s="2">
        <f t="shared" si="25"/>
        <v>211.952</v>
      </c>
    </row>
    <row r="396" spans="1:4" x14ac:dyDescent="0.2">
      <c r="A396">
        <v>89</v>
      </c>
      <c r="B396">
        <f t="shared" si="24"/>
        <v>890</v>
      </c>
      <c r="C396">
        <v>6.7</v>
      </c>
      <c r="D396" s="2">
        <f t="shared" si="25"/>
        <v>212.05199999999999</v>
      </c>
    </row>
    <row r="397" spans="1:4" x14ac:dyDescent="0.2">
      <c r="A397">
        <v>90</v>
      </c>
      <c r="B397">
        <f t="shared" si="24"/>
        <v>900</v>
      </c>
      <c r="C397">
        <v>6.6849999999999996</v>
      </c>
      <c r="D397" s="2">
        <f t="shared" si="25"/>
        <v>212.03700000000001</v>
      </c>
    </row>
    <row r="398" spans="1:4" x14ac:dyDescent="0.2">
      <c r="A398">
        <v>91</v>
      </c>
      <c r="B398">
        <f t="shared" si="24"/>
        <v>910</v>
      </c>
      <c r="C398">
        <v>6.9039999999999999</v>
      </c>
      <c r="D398" s="2">
        <f t="shared" si="25"/>
        <v>212.256</v>
      </c>
    </row>
    <row r="399" spans="1:4" x14ac:dyDescent="0.2">
      <c r="A399">
        <v>92</v>
      </c>
      <c r="B399">
        <f t="shared" si="24"/>
        <v>920</v>
      </c>
      <c r="C399">
        <v>6.9539999999999997</v>
      </c>
      <c r="D399" s="2">
        <f t="shared" si="25"/>
        <v>212.30600000000001</v>
      </c>
    </row>
    <row r="401" spans="1:10" x14ac:dyDescent="0.2">
      <c r="A401" t="s">
        <v>22</v>
      </c>
    </row>
    <row r="402" spans="1:10" x14ac:dyDescent="0.2">
      <c r="A402" t="s">
        <v>9</v>
      </c>
      <c r="B402" t="s">
        <v>10</v>
      </c>
      <c r="C402" t="s">
        <v>11</v>
      </c>
      <c r="D402" t="s">
        <v>12</v>
      </c>
      <c r="E402" t="s">
        <v>14</v>
      </c>
      <c r="F402" t="s">
        <v>13</v>
      </c>
      <c r="G402" t="s">
        <v>18</v>
      </c>
      <c r="H402" t="s">
        <v>5</v>
      </c>
      <c r="I402" t="s">
        <v>23</v>
      </c>
      <c r="J402" t="s">
        <v>24</v>
      </c>
    </row>
    <row r="403" spans="1:10" x14ac:dyDescent="0.2">
      <c r="A403">
        <v>20</v>
      </c>
      <c r="B403">
        <f>A403*10</f>
        <v>200</v>
      </c>
      <c r="C403">
        <v>10.568</v>
      </c>
      <c r="D403" s="2">
        <f>C403+((-0.7286*$C$9)+227.21)</f>
        <v>214.30088888888892</v>
      </c>
      <c r="E403" s="2">
        <f>AVERAGE(C403:C475)</f>
        <v>5.1710273972602732</v>
      </c>
      <c r="F403" s="2">
        <f>AVERAGE(D403:D475)</f>
        <v>208.90391628614913</v>
      </c>
      <c r="G403">
        <f>_xlfn.STDEV.S(D403:D475)</f>
        <v>2.7333045474734368</v>
      </c>
      <c r="H403">
        <f>(G403/F403)*100</f>
        <v>1.3084027317752405</v>
      </c>
      <c r="I403" s="2">
        <f>MAX(D403:D475)</f>
        <v>214.30088888888892</v>
      </c>
      <c r="J403" s="2">
        <f>MIN(D403:D475)</f>
        <v>204.05988888888891</v>
      </c>
    </row>
    <row r="404" spans="1:10" x14ac:dyDescent="0.2">
      <c r="A404">
        <v>21</v>
      </c>
      <c r="B404">
        <f t="shared" ref="B404:B467" si="26">A404*10</f>
        <v>210</v>
      </c>
      <c r="C404">
        <v>10.311</v>
      </c>
      <c r="D404" s="2">
        <f t="shared" ref="D404:D467" si="27">C404+((-0.7286*$C$9)+227.21)</f>
        <v>214.04388888888892</v>
      </c>
    </row>
    <row r="405" spans="1:10" x14ac:dyDescent="0.2">
      <c r="A405">
        <v>22</v>
      </c>
      <c r="B405">
        <f t="shared" si="26"/>
        <v>220</v>
      </c>
      <c r="C405">
        <v>10.061999999999999</v>
      </c>
      <c r="D405" s="2">
        <f t="shared" si="27"/>
        <v>213.79488888888892</v>
      </c>
    </row>
    <row r="406" spans="1:10" x14ac:dyDescent="0.2">
      <c r="A406">
        <v>23</v>
      </c>
      <c r="B406">
        <f t="shared" si="26"/>
        <v>230</v>
      </c>
      <c r="C406">
        <v>9.7750000000000004</v>
      </c>
      <c r="D406" s="2">
        <f t="shared" si="27"/>
        <v>213.50788888888891</v>
      </c>
    </row>
    <row r="407" spans="1:10" x14ac:dyDescent="0.2">
      <c r="A407">
        <v>24</v>
      </c>
      <c r="B407">
        <f t="shared" si="26"/>
        <v>240</v>
      </c>
      <c r="C407">
        <v>9.5540000000000003</v>
      </c>
      <c r="D407" s="2">
        <f t="shared" si="27"/>
        <v>213.28688888888891</v>
      </c>
    </row>
    <row r="408" spans="1:10" x14ac:dyDescent="0.2">
      <c r="A408">
        <v>25</v>
      </c>
      <c r="B408">
        <f t="shared" si="26"/>
        <v>250</v>
      </c>
      <c r="C408">
        <v>9.4139999999999997</v>
      </c>
      <c r="D408" s="2">
        <f t="shared" si="27"/>
        <v>213.1468888888889</v>
      </c>
    </row>
    <row r="409" spans="1:10" x14ac:dyDescent="0.2">
      <c r="A409">
        <v>26</v>
      </c>
      <c r="B409">
        <f t="shared" si="26"/>
        <v>260</v>
      </c>
      <c r="C409">
        <v>9.24</v>
      </c>
      <c r="D409" s="2">
        <f t="shared" si="27"/>
        <v>212.97288888888892</v>
      </c>
    </row>
    <row r="410" spans="1:10" x14ac:dyDescent="0.2">
      <c r="A410">
        <v>27</v>
      </c>
      <c r="B410">
        <f t="shared" si="26"/>
        <v>270</v>
      </c>
      <c r="C410">
        <v>9.0739999999999998</v>
      </c>
      <c r="D410" s="2">
        <f t="shared" si="27"/>
        <v>212.80688888888892</v>
      </c>
    </row>
    <row r="411" spans="1:10" x14ac:dyDescent="0.2">
      <c r="A411">
        <v>28</v>
      </c>
      <c r="B411">
        <f t="shared" si="26"/>
        <v>280</v>
      </c>
      <c r="C411">
        <v>8.8930000000000007</v>
      </c>
      <c r="D411" s="2">
        <f t="shared" si="27"/>
        <v>212.62588888888891</v>
      </c>
    </row>
    <row r="412" spans="1:10" x14ac:dyDescent="0.2">
      <c r="A412">
        <v>29</v>
      </c>
      <c r="B412">
        <f t="shared" si="26"/>
        <v>290</v>
      </c>
      <c r="C412">
        <v>8.7370000000000001</v>
      </c>
      <c r="D412" s="2">
        <f t="shared" si="27"/>
        <v>212.4698888888889</v>
      </c>
    </row>
    <row r="413" spans="1:10" x14ac:dyDescent="0.2">
      <c r="A413">
        <v>30</v>
      </c>
      <c r="B413">
        <f t="shared" si="26"/>
        <v>300</v>
      </c>
      <c r="C413">
        <v>8.593</v>
      </c>
      <c r="D413" s="2">
        <f t="shared" si="27"/>
        <v>212.3258888888889</v>
      </c>
    </row>
    <row r="414" spans="1:10" x14ac:dyDescent="0.2">
      <c r="A414">
        <v>31</v>
      </c>
      <c r="B414">
        <f t="shared" si="26"/>
        <v>310</v>
      </c>
      <c r="C414">
        <v>8.3529999999999998</v>
      </c>
      <c r="D414" s="2">
        <f t="shared" si="27"/>
        <v>212.08588888888892</v>
      </c>
    </row>
    <row r="415" spans="1:10" x14ac:dyDescent="0.2">
      <c r="A415">
        <v>32</v>
      </c>
      <c r="B415">
        <f t="shared" si="26"/>
        <v>320</v>
      </c>
      <c r="C415">
        <v>8.2010000000000005</v>
      </c>
      <c r="D415" s="2">
        <f t="shared" si="27"/>
        <v>211.9338888888889</v>
      </c>
    </row>
    <row r="416" spans="1:10" x14ac:dyDescent="0.2">
      <c r="A416">
        <v>33</v>
      </c>
      <c r="B416">
        <f t="shared" si="26"/>
        <v>330</v>
      </c>
      <c r="C416">
        <v>8.0790000000000006</v>
      </c>
      <c r="D416" s="2">
        <f t="shared" si="27"/>
        <v>211.81188888888892</v>
      </c>
    </row>
    <row r="417" spans="1:4" x14ac:dyDescent="0.2">
      <c r="A417">
        <v>34</v>
      </c>
      <c r="B417">
        <f t="shared" si="26"/>
        <v>340</v>
      </c>
      <c r="C417">
        <v>8.0489999999999995</v>
      </c>
      <c r="D417" s="2">
        <f t="shared" si="27"/>
        <v>211.78188888888891</v>
      </c>
    </row>
    <row r="418" spans="1:4" x14ac:dyDescent="0.2">
      <c r="A418">
        <v>35</v>
      </c>
      <c r="B418">
        <f t="shared" si="26"/>
        <v>350</v>
      </c>
      <c r="C418">
        <v>7.91</v>
      </c>
      <c r="D418" s="2">
        <f t="shared" si="27"/>
        <v>211.6428888888889</v>
      </c>
    </row>
    <row r="419" spans="1:4" x14ac:dyDescent="0.2">
      <c r="A419">
        <v>36</v>
      </c>
      <c r="B419">
        <f t="shared" si="26"/>
        <v>360</v>
      </c>
      <c r="C419">
        <v>7.7279999999999998</v>
      </c>
      <c r="D419" s="2">
        <f t="shared" si="27"/>
        <v>211.46088888888892</v>
      </c>
    </row>
    <row r="420" spans="1:4" x14ac:dyDescent="0.2">
      <c r="A420">
        <v>37</v>
      </c>
      <c r="B420">
        <f t="shared" si="26"/>
        <v>370</v>
      </c>
      <c r="C420">
        <v>7.335</v>
      </c>
      <c r="D420" s="2">
        <f t="shared" si="27"/>
        <v>211.06788888888892</v>
      </c>
    </row>
    <row r="421" spans="1:4" x14ac:dyDescent="0.2">
      <c r="A421">
        <v>38</v>
      </c>
      <c r="B421">
        <f t="shared" si="26"/>
        <v>380</v>
      </c>
      <c r="C421">
        <v>7.0510000000000002</v>
      </c>
      <c r="D421" s="2">
        <f t="shared" si="27"/>
        <v>210.7838888888889</v>
      </c>
    </row>
    <row r="422" spans="1:4" x14ac:dyDescent="0.2">
      <c r="A422">
        <v>39</v>
      </c>
      <c r="B422">
        <f t="shared" si="26"/>
        <v>390</v>
      </c>
      <c r="C422">
        <v>6.9080000000000004</v>
      </c>
      <c r="D422" s="2">
        <f t="shared" si="27"/>
        <v>210.6408888888889</v>
      </c>
    </row>
    <row r="423" spans="1:4" x14ac:dyDescent="0.2">
      <c r="A423">
        <v>40</v>
      </c>
      <c r="B423">
        <f t="shared" si="26"/>
        <v>400</v>
      </c>
      <c r="C423">
        <v>6.8319999999999999</v>
      </c>
      <c r="D423" s="2">
        <f t="shared" si="27"/>
        <v>210.5648888888889</v>
      </c>
    </row>
    <row r="424" spans="1:4" x14ac:dyDescent="0.2">
      <c r="A424">
        <v>41</v>
      </c>
      <c r="B424">
        <f t="shared" si="26"/>
        <v>410</v>
      </c>
      <c r="C424">
        <v>6.7160000000000002</v>
      </c>
      <c r="D424" s="2">
        <f t="shared" si="27"/>
        <v>210.44888888888892</v>
      </c>
    </row>
    <row r="425" spans="1:4" x14ac:dyDescent="0.2">
      <c r="A425">
        <v>42</v>
      </c>
      <c r="B425">
        <f t="shared" si="26"/>
        <v>420</v>
      </c>
      <c r="C425">
        <v>6.5039999999999996</v>
      </c>
      <c r="D425" s="2">
        <f t="shared" si="27"/>
        <v>210.2368888888889</v>
      </c>
    </row>
    <row r="426" spans="1:4" x14ac:dyDescent="0.2">
      <c r="A426">
        <v>43</v>
      </c>
      <c r="B426">
        <f t="shared" si="26"/>
        <v>430</v>
      </c>
      <c r="C426">
        <v>6.327</v>
      </c>
      <c r="D426" s="2">
        <f t="shared" si="27"/>
        <v>210.05988888888891</v>
      </c>
    </row>
    <row r="427" spans="1:4" x14ac:dyDescent="0.2">
      <c r="A427">
        <v>44</v>
      </c>
      <c r="B427">
        <f t="shared" si="26"/>
        <v>440</v>
      </c>
      <c r="C427">
        <v>6.2480000000000002</v>
      </c>
      <c r="D427" s="2">
        <f t="shared" si="27"/>
        <v>209.9808888888889</v>
      </c>
    </row>
    <row r="428" spans="1:4" x14ac:dyDescent="0.2">
      <c r="A428">
        <v>45</v>
      </c>
      <c r="B428">
        <f t="shared" si="26"/>
        <v>450</v>
      </c>
      <c r="C428">
        <v>6.125</v>
      </c>
      <c r="D428" s="2">
        <f t="shared" si="27"/>
        <v>209.85788888888891</v>
      </c>
    </row>
    <row r="429" spans="1:4" x14ac:dyDescent="0.2">
      <c r="A429">
        <v>46</v>
      </c>
      <c r="B429">
        <f t="shared" si="26"/>
        <v>460</v>
      </c>
      <c r="C429">
        <v>6.0869999999999997</v>
      </c>
      <c r="D429" s="2">
        <f t="shared" si="27"/>
        <v>209.8198888888889</v>
      </c>
    </row>
    <row r="430" spans="1:4" x14ac:dyDescent="0.2">
      <c r="A430">
        <v>47</v>
      </c>
      <c r="B430">
        <f t="shared" si="26"/>
        <v>470</v>
      </c>
      <c r="C430">
        <v>5.8419999999999996</v>
      </c>
      <c r="D430" s="2">
        <f t="shared" si="27"/>
        <v>209.57488888888892</v>
      </c>
    </row>
    <row r="431" spans="1:4" x14ac:dyDescent="0.2">
      <c r="A431">
        <v>48</v>
      </c>
      <c r="B431">
        <f t="shared" si="26"/>
        <v>480</v>
      </c>
      <c r="C431">
        <v>5.5359999999999996</v>
      </c>
      <c r="D431" s="2">
        <f t="shared" si="27"/>
        <v>209.26888888888891</v>
      </c>
    </row>
    <row r="432" spans="1:4" x14ac:dyDescent="0.2">
      <c r="A432">
        <v>49</v>
      </c>
      <c r="B432">
        <f t="shared" si="26"/>
        <v>490</v>
      </c>
      <c r="C432">
        <v>5.5579999999999998</v>
      </c>
      <c r="D432" s="2">
        <f t="shared" si="27"/>
        <v>209.2908888888889</v>
      </c>
    </row>
    <row r="433" spans="1:4" x14ac:dyDescent="0.2">
      <c r="A433">
        <v>50</v>
      </c>
      <c r="B433">
        <f t="shared" si="26"/>
        <v>500</v>
      </c>
      <c r="C433">
        <v>5.5579999999999998</v>
      </c>
      <c r="D433" s="2">
        <f t="shared" si="27"/>
        <v>209.2908888888889</v>
      </c>
    </row>
    <row r="434" spans="1:4" x14ac:dyDescent="0.2">
      <c r="A434">
        <v>51</v>
      </c>
      <c r="B434">
        <f t="shared" si="26"/>
        <v>510</v>
      </c>
      <c r="C434">
        <v>5.4260000000000002</v>
      </c>
      <c r="D434" s="2">
        <f t="shared" si="27"/>
        <v>209.1588888888889</v>
      </c>
    </row>
    <row r="435" spans="1:4" x14ac:dyDescent="0.2">
      <c r="A435">
        <v>52</v>
      </c>
      <c r="B435">
        <f t="shared" si="26"/>
        <v>520</v>
      </c>
      <c r="C435">
        <v>5.3250000000000002</v>
      </c>
      <c r="D435" s="2">
        <f t="shared" si="27"/>
        <v>209.0578888888889</v>
      </c>
    </row>
    <row r="436" spans="1:4" x14ac:dyDescent="0.2">
      <c r="A436">
        <v>53</v>
      </c>
      <c r="B436">
        <f t="shared" si="26"/>
        <v>530</v>
      </c>
      <c r="C436">
        <v>5.0590000000000002</v>
      </c>
      <c r="D436" s="2">
        <f t="shared" si="27"/>
        <v>208.79188888888891</v>
      </c>
    </row>
    <row r="437" spans="1:4" x14ac:dyDescent="0.2">
      <c r="A437">
        <v>54</v>
      </c>
      <c r="B437">
        <f t="shared" si="26"/>
        <v>540</v>
      </c>
      <c r="C437">
        <v>4.4180000000000001</v>
      </c>
      <c r="D437" s="2">
        <f t="shared" si="27"/>
        <v>208.15088888888891</v>
      </c>
    </row>
    <row r="438" spans="1:4" x14ac:dyDescent="0.2">
      <c r="A438">
        <v>55</v>
      </c>
      <c r="B438">
        <f t="shared" si="26"/>
        <v>550</v>
      </c>
      <c r="C438">
        <v>4.1529999999999996</v>
      </c>
      <c r="D438" s="2">
        <f t="shared" si="27"/>
        <v>207.8858888888889</v>
      </c>
    </row>
    <row r="439" spans="1:4" x14ac:dyDescent="0.2">
      <c r="A439">
        <v>56</v>
      </c>
      <c r="B439">
        <f t="shared" si="26"/>
        <v>560</v>
      </c>
      <c r="C439">
        <v>4.7110000000000003</v>
      </c>
      <c r="D439" s="2">
        <f t="shared" si="27"/>
        <v>208.44388888888892</v>
      </c>
    </row>
    <row r="440" spans="1:4" x14ac:dyDescent="0.2">
      <c r="A440">
        <v>57</v>
      </c>
      <c r="B440">
        <f t="shared" si="26"/>
        <v>570</v>
      </c>
      <c r="C440">
        <v>5.3179999999999996</v>
      </c>
      <c r="D440" s="2">
        <f t="shared" si="27"/>
        <v>209.05088888888892</v>
      </c>
    </row>
    <row r="441" spans="1:4" x14ac:dyDescent="0.2">
      <c r="A441">
        <v>58</v>
      </c>
      <c r="B441">
        <f t="shared" si="26"/>
        <v>580</v>
      </c>
      <c r="C441">
        <v>5.0350000000000001</v>
      </c>
      <c r="D441" s="2">
        <f t="shared" si="27"/>
        <v>208.7678888888889</v>
      </c>
    </row>
    <row r="442" spans="1:4" x14ac:dyDescent="0.2">
      <c r="A442">
        <v>59</v>
      </c>
      <c r="B442">
        <f t="shared" si="26"/>
        <v>590</v>
      </c>
      <c r="C442">
        <v>4.8099999999999996</v>
      </c>
      <c r="D442" s="2">
        <f t="shared" si="27"/>
        <v>208.54288888888891</v>
      </c>
    </row>
    <row r="443" spans="1:4" x14ac:dyDescent="0.2">
      <c r="A443">
        <v>60</v>
      </c>
      <c r="B443">
        <f t="shared" si="26"/>
        <v>600</v>
      </c>
      <c r="C443">
        <v>4.7240000000000002</v>
      </c>
      <c r="D443" s="2">
        <f t="shared" si="27"/>
        <v>208.4568888888889</v>
      </c>
    </row>
    <row r="444" spans="1:4" x14ac:dyDescent="0.2">
      <c r="A444">
        <v>61</v>
      </c>
      <c r="B444">
        <f t="shared" si="26"/>
        <v>610</v>
      </c>
      <c r="C444">
        <v>4.7510000000000003</v>
      </c>
      <c r="D444" s="2">
        <f t="shared" si="27"/>
        <v>208.48388888888891</v>
      </c>
    </row>
    <row r="445" spans="1:4" x14ac:dyDescent="0.2">
      <c r="A445">
        <v>62</v>
      </c>
      <c r="B445">
        <f t="shared" si="26"/>
        <v>620</v>
      </c>
      <c r="C445">
        <v>4.7240000000000002</v>
      </c>
      <c r="D445" s="2">
        <f t="shared" si="27"/>
        <v>208.4568888888889</v>
      </c>
    </row>
    <row r="446" spans="1:4" x14ac:dyDescent="0.2">
      <c r="A446">
        <v>63</v>
      </c>
      <c r="B446">
        <f t="shared" si="26"/>
        <v>630</v>
      </c>
      <c r="C446">
        <v>4.593</v>
      </c>
      <c r="D446" s="2">
        <f t="shared" si="27"/>
        <v>208.3258888888889</v>
      </c>
    </row>
    <row r="447" spans="1:4" x14ac:dyDescent="0.2">
      <c r="A447">
        <v>64</v>
      </c>
      <c r="B447">
        <f t="shared" si="26"/>
        <v>640</v>
      </c>
      <c r="C447">
        <v>4.4089999999999998</v>
      </c>
      <c r="D447" s="2">
        <f t="shared" si="27"/>
        <v>208.1418888888889</v>
      </c>
    </row>
    <row r="448" spans="1:4" x14ac:dyDescent="0.2">
      <c r="A448">
        <v>65</v>
      </c>
      <c r="B448">
        <f t="shared" si="26"/>
        <v>650</v>
      </c>
      <c r="C448">
        <v>4.3330000000000002</v>
      </c>
      <c r="D448" s="2">
        <f t="shared" si="27"/>
        <v>208.06588888888891</v>
      </c>
    </row>
    <row r="449" spans="1:4" x14ac:dyDescent="0.2">
      <c r="A449">
        <v>66</v>
      </c>
      <c r="B449">
        <f t="shared" si="26"/>
        <v>660</v>
      </c>
      <c r="C449">
        <v>4.2460000000000004</v>
      </c>
      <c r="D449" s="2">
        <f t="shared" si="27"/>
        <v>207.97888888888892</v>
      </c>
    </row>
    <row r="450" spans="1:4" x14ac:dyDescent="0.2">
      <c r="A450">
        <v>67</v>
      </c>
      <c r="B450">
        <f t="shared" si="26"/>
        <v>670</v>
      </c>
      <c r="C450">
        <v>4.1779999999999999</v>
      </c>
      <c r="D450" s="2">
        <f t="shared" si="27"/>
        <v>207.91088888888891</v>
      </c>
    </row>
    <row r="451" spans="1:4" x14ac:dyDescent="0.2">
      <c r="A451">
        <v>68</v>
      </c>
      <c r="B451">
        <f t="shared" si="26"/>
        <v>680</v>
      </c>
      <c r="C451">
        <v>4.0599999999999996</v>
      </c>
      <c r="D451" s="2">
        <f t="shared" si="27"/>
        <v>207.79288888888891</v>
      </c>
    </row>
    <row r="452" spans="1:4" x14ac:dyDescent="0.2">
      <c r="A452">
        <v>69</v>
      </c>
      <c r="B452">
        <f t="shared" si="26"/>
        <v>690</v>
      </c>
      <c r="C452">
        <v>3.9790000000000001</v>
      </c>
      <c r="D452" s="2">
        <f t="shared" si="27"/>
        <v>207.71188888888892</v>
      </c>
    </row>
    <row r="453" spans="1:4" x14ac:dyDescent="0.2">
      <c r="A453">
        <v>70</v>
      </c>
      <c r="B453">
        <f t="shared" si="26"/>
        <v>700</v>
      </c>
      <c r="C453">
        <v>3.7669999999999999</v>
      </c>
      <c r="D453" s="2">
        <f t="shared" si="27"/>
        <v>207.4998888888889</v>
      </c>
    </row>
    <row r="454" spans="1:4" x14ac:dyDescent="0.2">
      <c r="A454">
        <v>71</v>
      </c>
      <c r="B454">
        <f t="shared" si="26"/>
        <v>710</v>
      </c>
      <c r="C454">
        <v>3.6160000000000001</v>
      </c>
      <c r="D454" s="2">
        <f t="shared" si="27"/>
        <v>207.34888888888892</v>
      </c>
    </row>
    <row r="455" spans="1:4" x14ac:dyDescent="0.2">
      <c r="A455">
        <v>72</v>
      </c>
      <c r="B455">
        <f t="shared" si="26"/>
        <v>720</v>
      </c>
      <c r="C455">
        <v>3.6240000000000001</v>
      </c>
      <c r="D455" s="2">
        <f t="shared" si="27"/>
        <v>207.3568888888889</v>
      </c>
    </row>
    <row r="456" spans="1:4" x14ac:dyDescent="0.2">
      <c r="A456">
        <v>73</v>
      </c>
      <c r="B456">
        <f t="shared" si="26"/>
        <v>730</v>
      </c>
      <c r="C456">
        <v>3.456</v>
      </c>
      <c r="D456" s="2">
        <f t="shared" si="27"/>
        <v>207.1888888888889</v>
      </c>
    </row>
    <row r="457" spans="1:4" x14ac:dyDescent="0.2">
      <c r="A457">
        <v>74</v>
      </c>
      <c r="B457">
        <f t="shared" si="26"/>
        <v>740</v>
      </c>
      <c r="C457">
        <v>3.37</v>
      </c>
      <c r="D457" s="2">
        <f t="shared" si="27"/>
        <v>207.10288888888891</v>
      </c>
    </row>
    <row r="458" spans="1:4" x14ac:dyDescent="0.2">
      <c r="A458">
        <v>75</v>
      </c>
      <c r="B458">
        <f t="shared" si="26"/>
        <v>750</v>
      </c>
      <c r="C458">
        <v>3.09</v>
      </c>
      <c r="D458" s="2">
        <f t="shared" si="27"/>
        <v>206.82288888888891</v>
      </c>
    </row>
    <row r="459" spans="1:4" x14ac:dyDescent="0.2">
      <c r="A459">
        <v>76</v>
      </c>
      <c r="B459">
        <f t="shared" si="26"/>
        <v>760</v>
      </c>
      <c r="C459">
        <v>2.9159999999999999</v>
      </c>
      <c r="D459" s="2">
        <f t="shared" si="27"/>
        <v>206.64888888888891</v>
      </c>
    </row>
    <row r="460" spans="1:4" x14ac:dyDescent="0.2">
      <c r="A460">
        <v>77</v>
      </c>
      <c r="B460">
        <f t="shared" si="26"/>
        <v>770</v>
      </c>
      <c r="C460">
        <v>2.754</v>
      </c>
      <c r="D460" s="2">
        <f t="shared" si="27"/>
        <v>206.4868888888889</v>
      </c>
    </row>
    <row r="461" spans="1:4" x14ac:dyDescent="0.2">
      <c r="A461">
        <v>78</v>
      </c>
      <c r="B461">
        <f t="shared" si="26"/>
        <v>780</v>
      </c>
      <c r="C461">
        <v>2.681</v>
      </c>
      <c r="D461" s="2">
        <f t="shared" si="27"/>
        <v>206.41388888888892</v>
      </c>
    </row>
    <row r="462" spans="1:4" x14ac:dyDescent="0.2">
      <c r="A462">
        <v>79</v>
      </c>
      <c r="B462">
        <f t="shared" si="26"/>
        <v>790</v>
      </c>
      <c r="C462">
        <v>2.6190000000000002</v>
      </c>
      <c r="D462" s="2">
        <f t="shared" si="27"/>
        <v>206.35188888888891</v>
      </c>
    </row>
    <row r="463" spans="1:4" x14ac:dyDescent="0.2">
      <c r="A463">
        <v>80</v>
      </c>
      <c r="B463">
        <f t="shared" si="26"/>
        <v>800</v>
      </c>
      <c r="C463">
        <v>2.476</v>
      </c>
      <c r="D463" s="2">
        <f t="shared" si="27"/>
        <v>206.20888888888891</v>
      </c>
    </row>
    <row r="464" spans="1:4" x14ac:dyDescent="0.2">
      <c r="A464">
        <v>81</v>
      </c>
      <c r="B464">
        <f t="shared" si="26"/>
        <v>810</v>
      </c>
      <c r="C464">
        <v>2.2869999999999999</v>
      </c>
      <c r="D464" s="2">
        <f t="shared" si="27"/>
        <v>206.01988888888891</v>
      </c>
    </row>
    <row r="465" spans="1:10" x14ac:dyDescent="0.2">
      <c r="A465">
        <v>82</v>
      </c>
      <c r="B465">
        <f t="shared" si="26"/>
        <v>820</v>
      </c>
      <c r="C465">
        <v>2.0190000000000001</v>
      </c>
      <c r="D465" s="2">
        <f t="shared" si="27"/>
        <v>205.75188888888891</v>
      </c>
    </row>
    <row r="466" spans="1:10" x14ac:dyDescent="0.2">
      <c r="A466">
        <v>83</v>
      </c>
      <c r="B466">
        <f t="shared" si="26"/>
        <v>830</v>
      </c>
      <c r="C466">
        <v>1.8759999999999999</v>
      </c>
      <c r="D466" s="2">
        <f t="shared" si="27"/>
        <v>205.60888888888891</v>
      </c>
    </row>
    <row r="467" spans="1:10" x14ac:dyDescent="0.2">
      <c r="A467">
        <v>84</v>
      </c>
      <c r="B467">
        <f t="shared" si="26"/>
        <v>840</v>
      </c>
      <c r="C467">
        <v>1.4970000000000001</v>
      </c>
      <c r="D467" s="2">
        <f t="shared" si="27"/>
        <v>205.22988888888892</v>
      </c>
    </row>
    <row r="468" spans="1:10" x14ac:dyDescent="0.2">
      <c r="A468">
        <v>85</v>
      </c>
      <c r="B468">
        <f t="shared" ref="B468:B475" si="28">A468*10</f>
        <v>850</v>
      </c>
      <c r="C468">
        <v>1.2689999999999999</v>
      </c>
      <c r="D468" s="2">
        <f t="shared" ref="D468:D475" si="29">C468+((-0.7286*$C$9)+227.21)</f>
        <v>205.00188888888891</v>
      </c>
    </row>
    <row r="469" spans="1:10" x14ac:dyDescent="0.2">
      <c r="A469">
        <v>86</v>
      </c>
      <c r="B469">
        <f t="shared" si="28"/>
        <v>860</v>
      </c>
      <c r="C469">
        <v>1.093</v>
      </c>
      <c r="D469" s="2">
        <f t="shared" si="29"/>
        <v>204.8258888888889</v>
      </c>
    </row>
    <row r="470" spans="1:10" x14ac:dyDescent="0.2">
      <c r="A470">
        <v>87</v>
      </c>
      <c r="B470">
        <f t="shared" si="28"/>
        <v>870</v>
      </c>
      <c r="C470">
        <v>0.98599999999999999</v>
      </c>
      <c r="D470" s="2">
        <f t="shared" si="29"/>
        <v>204.7188888888889</v>
      </c>
    </row>
    <row r="471" spans="1:10" x14ac:dyDescent="0.2">
      <c r="A471">
        <v>88</v>
      </c>
      <c r="B471">
        <f t="shared" si="28"/>
        <v>880</v>
      </c>
      <c r="C471">
        <v>0.78</v>
      </c>
      <c r="D471" s="2">
        <f t="shared" si="29"/>
        <v>204.51288888888891</v>
      </c>
    </row>
    <row r="472" spans="1:10" x14ac:dyDescent="0.2">
      <c r="A472">
        <v>89</v>
      </c>
      <c r="B472">
        <f t="shared" si="28"/>
        <v>890</v>
      </c>
      <c r="C472">
        <v>0.60099999999999998</v>
      </c>
      <c r="D472" s="2">
        <f t="shared" si="29"/>
        <v>204.33388888888891</v>
      </c>
    </row>
    <row r="473" spans="1:10" x14ac:dyDescent="0.2">
      <c r="A473">
        <v>90</v>
      </c>
      <c r="B473">
        <f t="shared" si="28"/>
        <v>900</v>
      </c>
      <c r="C473">
        <v>0.504</v>
      </c>
      <c r="D473" s="2">
        <f t="shared" si="29"/>
        <v>204.2368888888889</v>
      </c>
    </row>
    <row r="474" spans="1:10" x14ac:dyDescent="0.2">
      <c r="A474">
        <v>91</v>
      </c>
      <c r="B474">
        <f t="shared" si="28"/>
        <v>910</v>
      </c>
      <c r="C474">
        <v>0.45700000000000002</v>
      </c>
      <c r="D474" s="2">
        <f t="shared" si="29"/>
        <v>204.1898888888889</v>
      </c>
    </row>
    <row r="475" spans="1:10" x14ac:dyDescent="0.2">
      <c r="A475">
        <v>92</v>
      </c>
      <c r="B475">
        <f t="shared" si="28"/>
        <v>920</v>
      </c>
      <c r="C475">
        <v>0.32700000000000001</v>
      </c>
      <c r="D475" s="2">
        <f t="shared" si="29"/>
        <v>204.05988888888891</v>
      </c>
    </row>
    <row r="477" spans="1:10" x14ac:dyDescent="0.2">
      <c r="A477" t="s">
        <v>25</v>
      </c>
    </row>
    <row r="478" spans="1:10" x14ac:dyDescent="0.2">
      <c r="A478" t="s">
        <v>9</v>
      </c>
      <c r="B478" t="s">
        <v>10</v>
      </c>
      <c r="C478" t="s">
        <v>11</v>
      </c>
      <c r="D478" t="s">
        <v>12</v>
      </c>
      <c r="E478" t="s">
        <v>14</v>
      </c>
      <c r="F478" t="s">
        <v>13</v>
      </c>
      <c r="G478" t="s">
        <v>18</v>
      </c>
      <c r="H478" t="s">
        <v>5</v>
      </c>
      <c r="I478" t="s">
        <v>23</v>
      </c>
      <c r="J478" t="s">
        <v>24</v>
      </c>
    </row>
    <row r="479" spans="1:10" x14ac:dyDescent="0.2">
      <c r="A479">
        <v>20</v>
      </c>
      <c r="B479">
        <f>A479*10</f>
        <v>200</v>
      </c>
      <c r="C479">
        <v>5.7569999999999997</v>
      </c>
      <c r="D479" s="2">
        <f>C479+((-0.7286*$C$10)+227.21)</f>
        <v>209.48988888888891</v>
      </c>
      <c r="E479" s="2">
        <f>AVERAGE(C479:C551)</f>
        <v>4.4730821917808203</v>
      </c>
      <c r="F479" s="2">
        <f>AVERAGE(D479:D551)</f>
        <v>208.20597108066971</v>
      </c>
      <c r="G479">
        <f>_xlfn.STDEV.S(D479:D551)</f>
        <v>0.65975586295708044</v>
      </c>
      <c r="H479">
        <f>(G479/F479)*100</f>
        <v>0.31687653314296982</v>
      </c>
      <c r="I479" s="2">
        <f>MAX(D479:D551)</f>
        <v>209.48988888888891</v>
      </c>
      <c r="J479" s="2">
        <f>MIN(D479:D551)</f>
        <v>207.3678888888889</v>
      </c>
    </row>
    <row r="480" spans="1:10" x14ac:dyDescent="0.2">
      <c r="A480">
        <v>21</v>
      </c>
      <c r="B480">
        <f t="shared" ref="B480:B543" si="30">A480*10</f>
        <v>210</v>
      </c>
      <c r="C480">
        <v>5.6740000000000004</v>
      </c>
      <c r="D480" s="2">
        <f t="shared" ref="D480:D543" si="31">C480+((-0.7286*$C$9)+227.21)</f>
        <v>209.40688888888891</v>
      </c>
    </row>
    <row r="481" spans="1:4" x14ac:dyDescent="0.2">
      <c r="A481">
        <v>22</v>
      </c>
      <c r="B481">
        <f t="shared" si="30"/>
        <v>220</v>
      </c>
      <c r="C481">
        <v>5.6029999999999998</v>
      </c>
      <c r="D481" s="2">
        <f t="shared" si="31"/>
        <v>209.33588888888892</v>
      </c>
    </row>
    <row r="482" spans="1:4" x14ac:dyDescent="0.2">
      <c r="A482">
        <v>23</v>
      </c>
      <c r="B482">
        <f t="shared" si="30"/>
        <v>230</v>
      </c>
      <c r="C482">
        <v>5.5919999999999996</v>
      </c>
      <c r="D482" s="2">
        <f t="shared" si="31"/>
        <v>209.32488888888892</v>
      </c>
    </row>
    <row r="483" spans="1:4" x14ac:dyDescent="0.2">
      <c r="A483">
        <v>24</v>
      </c>
      <c r="B483">
        <f t="shared" si="30"/>
        <v>240</v>
      </c>
      <c r="C483">
        <v>5.5579999999999998</v>
      </c>
      <c r="D483" s="2">
        <f t="shared" si="31"/>
        <v>209.2908888888889</v>
      </c>
    </row>
    <row r="484" spans="1:4" x14ac:dyDescent="0.2">
      <c r="A484">
        <v>25</v>
      </c>
      <c r="B484">
        <f t="shared" si="30"/>
        <v>250</v>
      </c>
      <c r="C484">
        <v>5.5039999999999996</v>
      </c>
      <c r="D484" s="2">
        <f t="shared" si="31"/>
        <v>209.2368888888889</v>
      </c>
    </row>
    <row r="485" spans="1:4" x14ac:dyDescent="0.2">
      <c r="A485">
        <v>26</v>
      </c>
      <c r="B485">
        <f t="shared" si="30"/>
        <v>260</v>
      </c>
      <c r="C485">
        <v>5.508</v>
      </c>
      <c r="D485" s="2">
        <f t="shared" si="31"/>
        <v>209.24088888888892</v>
      </c>
    </row>
    <row r="486" spans="1:4" x14ac:dyDescent="0.2">
      <c r="A486">
        <v>27</v>
      </c>
      <c r="B486">
        <f t="shared" si="30"/>
        <v>270</v>
      </c>
      <c r="C486">
        <v>5.4889999999999999</v>
      </c>
      <c r="D486" s="2">
        <f t="shared" si="31"/>
        <v>209.22188888888891</v>
      </c>
    </row>
    <row r="487" spans="1:4" x14ac:dyDescent="0.2">
      <c r="A487">
        <v>28</v>
      </c>
      <c r="B487">
        <f t="shared" si="30"/>
        <v>280</v>
      </c>
      <c r="C487">
        <v>5.4550000000000001</v>
      </c>
      <c r="D487" s="2">
        <f t="shared" si="31"/>
        <v>209.18788888888892</v>
      </c>
    </row>
    <row r="488" spans="1:4" x14ac:dyDescent="0.2">
      <c r="A488">
        <v>29</v>
      </c>
      <c r="B488">
        <f t="shared" si="30"/>
        <v>290</v>
      </c>
      <c r="C488">
        <v>5.4219999999999997</v>
      </c>
      <c r="D488" s="2">
        <f t="shared" si="31"/>
        <v>209.15488888888891</v>
      </c>
    </row>
    <row r="489" spans="1:4" x14ac:dyDescent="0.2">
      <c r="A489">
        <v>30</v>
      </c>
      <c r="B489">
        <f t="shared" si="30"/>
        <v>300</v>
      </c>
      <c r="C489">
        <v>5.4039999999999999</v>
      </c>
      <c r="D489" s="2">
        <f t="shared" si="31"/>
        <v>209.1368888888889</v>
      </c>
    </row>
    <row r="490" spans="1:4" x14ac:dyDescent="0.2">
      <c r="A490">
        <v>31</v>
      </c>
      <c r="B490">
        <f t="shared" si="30"/>
        <v>310</v>
      </c>
      <c r="C490">
        <v>5.3810000000000002</v>
      </c>
      <c r="D490" s="2">
        <f t="shared" si="31"/>
        <v>209.11388888888891</v>
      </c>
    </row>
    <row r="491" spans="1:4" x14ac:dyDescent="0.2">
      <c r="A491">
        <v>32</v>
      </c>
      <c r="B491">
        <f t="shared" si="30"/>
        <v>320</v>
      </c>
      <c r="C491">
        <v>5.3109999999999999</v>
      </c>
      <c r="D491" s="2">
        <f t="shared" si="31"/>
        <v>209.04388888888892</v>
      </c>
    </row>
    <row r="492" spans="1:4" x14ac:dyDescent="0.2">
      <c r="A492">
        <v>33</v>
      </c>
      <c r="B492">
        <f t="shared" si="30"/>
        <v>330</v>
      </c>
      <c r="C492">
        <v>5.258</v>
      </c>
      <c r="D492" s="2">
        <f t="shared" si="31"/>
        <v>208.99088888888892</v>
      </c>
    </row>
    <row r="493" spans="1:4" x14ac:dyDescent="0.2">
      <c r="A493">
        <v>34</v>
      </c>
      <c r="B493">
        <f t="shared" si="30"/>
        <v>340</v>
      </c>
      <c r="C493">
        <v>5.2320000000000002</v>
      </c>
      <c r="D493" s="2">
        <f t="shared" si="31"/>
        <v>208.96488888888891</v>
      </c>
    </row>
    <row r="494" spans="1:4" x14ac:dyDescent="0.2">
      <c r="A494">
        <v>35</v>
      </c>
      <c r="B494">
        <f t="shared" si="30"/>
        <v>350</v>
      </c>
      <c r="C494">
        <v>5.19</v>
      </c>
      <c r="D494" s="2">
        <f t="shared" si="31"/>
        <v>208.92288888888891</v>
      </c>
    </row>
    <row r="495" spans="1:4" x14ac:dyDescent="0.2">
      <c r="A495">
        <v>36</v>
      </c>
      <c r="B495">
        <f t="shared" si="30"/>
        <v>360</v>
      </c>
      <c r="C495">
        <v>5.1420000000000003</v>
      </c>
      <c r="D495" s="2">
        <f t="shared" si="31"/>
        <v>208.8748888888889</v>
      </c>
    </row>
    <row r="496" spans="1:4" x14ac:dyDescent="0.2">
      <c r="A496">
        <v>37</v>
      </c>
      <c r="B496">
        <f t="shared" si="30"/>
        <v>370</v>
      </c>
      <c r="C496">
        <v>5.0970000000000004</v>
      </c>
      <c r="D496" s="2">
        <f t="shared" si="31"/>
        <v>208.82988888888892</v>
      </c>
    </row>
    <row r="497" spans="1:4" x14ac:dyDescent="0.2">
      <c r="A497">
        <v>38</v>
      </c>
      <c r="B497">
        <f t="shared" si="30"/>
        <v>380</v>
      </c>
      <c r="C497">
        <v>5.056</v>
      </c>
      <c r="D497" s="2">
        <f t="shared" si="31"/>
        <v>208.78888888888892</v>
      </c>
    </row>
    <row r="498" spans="1:4" x14ac:dyDescent="0.2">
      <c r="A498">
        <v>39</v>
      </c>
      <c r="B498">
        <f t="shared" si="30"/>
        <v>390</v>
      </c>
      <c r="C498">
        <v>5.0220000000000002</v>
      </c>
      <c r="D498" s="2">
        <f t="shared" si="31"/>
        <v>208.7548888888889</v>
      </c>
    </row>
    <row r="499" spans="1:4" x14ac:dyDescent="0.2">
      <c r="A499">
        <v>40</v>
      </c>
      <c r="B499">
        <f t="shared" si="30"/>
        <v>400</v>
      </c>
      <c r="C499">
        <v>4.9790000000000001</v>
      </c>
      <c r="D499" s="2">
        <f t="shared" si="31"/>
        <v>208.71188888888892</v>
      </c>
    </row>
    <row r="500" spans="1:4" x14ac:dyDescent="0.2">
      <c r="A500">
        <v>41</v>
      </c>
      <c r="B500">
        <f t="shared" si="30"/>
        <v>410</v>
      </c>
      <c r="C500">
        <v>4.9340000000000002</v>
      </c>
      <c r="D500" s="2">
        <f t="shared" si="31"/>
        <v>208.66688888888891</v>
      </c>
    </row>
    <row r="501" spans="1:4" x14ac:dyDescent="0.2">
      <c r="A501">
        <v>42</v>
      </c>
      <c r="B501">
        <f t="shared" si="30"/>
        <v>420</v>
      </c>
      <c r="C501">
        <v>4.88</v>
      </c>
      <c r="D501" s="2">
        <f t="shared" si="31"/>
        <v>208.6128888888889</v>
      </c>
    </row>
    <row r="502" spans="1:4" x14ac:dyDescent="0.2">
      <c r="A502">
        <v>43</v>
      </c>
      <c r="B502">
        <f t="shared" si="30"/>
        <v>430</v>
      </c>
      <c r="C502">
        <v>4.8289999999999997</v>
      </c>
      <c r="D502" s="2">
        <f t="shared" si="31"/>
        <v>208.56188888888892</v>
      </c>
    </row>
    <row r="503" spans="1:4" x14ac:dyDescent="0.2">
      <c r="A503">
        <v>44</v>
      </c>
      <c r="B503">
        <f t="shared" si="30"/>
        <v>440</v>
      </c>
      <c r="C503">
        <v>4.7850000000000001</v>
      </c>
      <c r="D503" s="2">
        <f t="shared" si="31"/>
        <v>208.5178888888889</v>
      </c>
    </row>
    <row r="504" spans="1:4" x14ac:dyDescent="0.2">
      <c r="A504">
        <v>45</v>
      </c>
      <c r="B504">
        <f t="shared" si="30"/>
        <v>450</v>
      </c>
      <c r="C504">
        <v>4.7350000000000003</v>
      </c>
      <c r="D504" s="2">
        <f t="shared" si="31"/>
        <v>208.46788888888892</v>
      </c>
    </row>
    <row r="505" spans="1:4" x14ac:dyDescent="0.2">
      <c r="A505">
        <v>46</v>
      </c>
      <c r="B505">
        <f t="shared" si="30"/>
        <v>460</v>
      </c>
      <c r="C505">
        <v>4.67</v>
      </c>
      <c r="D505" s="2">
        <f t="shared" si="31"/>
        <v>208.4028888888889</v>
      </c>
    </row>
    <row r="506" spans="1:4" x14ac:dyDescent="0.2">
      <c r="A506">
        <v>47</v>
      </c>
      <c r="B506">
        <f t="shared" si="30"/>
        <v>470</v>
      </c>
      <c r="C506">
        <v>4.6210000000000004</v>
      </c>
      <c r="D506" s="2">
        <f t="shared" si="31"/>
        <v>208.35388888888892</v>
      </c>
    </row>
    <row r="507" spans="1:4" x14ac:dyDescent="0.2">
      <c r="A507">
        <v>48</v>
      </c>
      <c r="B507">
        <f t="shared" si="30"/>
        <v>480</v>
      </c>
      <c r="C507">
        <v>4.5750000000000002</v>
      </c>
      <c r="D507" s="2">
        <f t="shared" si="31"/>
        <v>208.3078888888889</v>
      </c>
    </row>
    <row r="508" spans="1:4" x14ac:dyDescent="0.2">
      <c r="A508">
        <v>49</v>
      </c>
      <c r="B508">
        <f t="shared" si="30"/>
        <v>490</v>
      </c>
      <c r="C508">
        <v>4.548</v>
      </c>
      <c r="D508" s="2">
        <f t="shared" si="31"/>
        <v>208.28088888888891</v>
      </c>
    </row>
    <row r="509" spans="1:4" x14ac:dyDescent="0.2">
      <c r="A509">
        <v>50</v>
      </c>
      <c r="B509">
        <f t="shared" si="30"/>
        <v>500</v>
      </c>
      <c r="C509">
        <v>4.5119999999999996</v>
      </c>
      <c r="D509" s="2">
        <f t="shared" si="31"/>
        <v>208.24488888888891</v>
      </c>
    </row>
    <row r="510" spans="1:4" x14ac:dyDescent="0.2">
      <c r="A510">
        <v>51</v>
      </c>
      <c r="B510">
        <f t="shared" si="30"/>
        <v>510</v>
      </c>
      <c r="C510">
        <v>4.4660000000000002</v>
      </c>
      <c r="D510" s="2">
        <f t="shared" si="31"/>
        <v>208.19888888888892</v>
      </c>
    </row>
    <row r="511" spans="1:4" x14ac:dyDescent="0.2">
      <c r="A511">
        <v>52</v>
      </c>
      <c r="B511">
        <f t="shared" si="30"/>
        <v>520</v>
      </c>
      <c r="C511">
        <v>4.4080000000000004</v>
      </c>
      <c r="D511" s="2">
        <f t="shared" si="31"/>
        <v>208.1408888888889</v>
      </c>
    </row>
    <row r="512" spans="1:4" x14ac:dyDescent="0.2">
      <c r="A512">
        <v>53</v>
      </c>
      <c r="B512">
        <f t="shared" si="30"/>
        <v>530</v>
      </c>
      <c r="C512">
        <v>4.3609999999999998</v>
      </c>
      <c r="D512" s="2">
        <f t="shared" si="31"/>
        <v>208.0938888888889</v>
      </c>
    </row>
    <row r="513" spans="1:4" x14ac:dyDescent="0.2">
      <c r="A513">
        <v>54</v>
      </c>
      <c r="B513">
        <f t="shared" si="30"/>
        <v>540</v>
      </c>
      <c r="C513">
        <v>4.32</v>
      </c>
      <c r="D513" s="2">
        <f t="shared" si="31"/>
        <v>208.0528888888889</v>
      </c>
    </row>
    <row r="514" spans="1:4" x14ac:dyDescent="0.2">
      <c r="A514">
        <v>55</v>
      </c>
      <c r="B514">
        <f t="shared" si="30"/>
        <v>550</v>
      </c>
      <c r="C514">
        <v>4.2699999999999996</v>
      </c>
      <c r="D514" s="2">
        <f t="shared" si="31"/>
        <v>208.00288888888892</v>
      </c>
    </row>
    <row r="515" spans="1:4" x14ac:dyDescent="0.2">
      <c r="A515">
        <v>56</v>
      </c>
      <c r="B515">
        <f t="shared" si="30"/>
        <v>560</v>
      </c>
      <c r="C515">
        <v>4.2389999999999999</v>
      </c>
      <c r="D515" s="2">
        <f t="shared" si="31"/>
        <v>207.97188888888891</v>
      </c>
    </row>
    <row r="516" spans="1:4" x14ac:dyDescent="0.2">
      <c r="A516">
        <v>57</v>
      </c>
      <c r="B516">
        <f t="shared" si="30"/>
        <v>570</v>
      </c>
      <c r="C516">
        <v>4.2249999999999996</v>
      </c>
      <c r="D516" s="2">
        <f t="shared" si="31"/>
        <v>207.9578888888889</v>
      </c>
    </row>
    <row r="517" spans="1:4" x14ac:dyDescent="0.2">
      <c r="A517">
        <v>58</v>
      </c>
      <c r="B517">
        <f t="shared" si="30"/>
        <v>580</v>
      </c>
      <c r="C517">
        <v>4.2119999999999997</v>
      </c>
      <c r="D517" s="2">
        <f t="shared" si="31"/>
        <v>207.9448888888889</v>
      </c>
    </row>
    <row r="518" spans="1:4" x14ac:dyDescent="0.2">
      <c r="A518">
        <v>59</v>
      </c>
      <c r="B518">
        <f t="shared" si="30"/>
        <v>590</v>
      </c>
      <c r="C518">
        <v>4.1950000000000003</v>
      </c>
      <c r="D518" s="2">
        <f t="shared" si="31"/>
        <v>207.9278888888889</v>
      </c>
    </row>
    <row r="519" spans="1:4" x14ac:dyDescent="0.2">
      <c r="A519">
        <v>60</v>
      </c>
      <c r="B519">
        <f t="shared" si="30"/>
        <v>600</v>
      </c>
      <c r="C519">
        <v>4.1870000000000003</v>
      </c>
      <c r="D519" s="2">
        <f t="shared" si="31"/>
        <v>207.91988888888892</v>
      </c>
    </row>
    <row r="520" spans="1:4" x14ac:dyDescent="0.2">
      <c r="A520">
        <v>61</v>
      </c>
      <c r="B520">
        <f t="shared" si="30"/>
        <v>610</v>
      </c>
      <c r="C520">
        <v>4.18</v>
      </c>
      <c r="D520" s="2">
        <f t="shared" si="31"/>
        <v>207.91288888888892</v>
      </c>
    </row>
    <row r="521" spans="1:4" x14ac:dyDescent="0.2">
      <c r="A521">
        <v>62</v>
      </c>
      <c r="B521">
        <f t="shared" si="30"/>
        <v>620</v>
      </c>
      <c r="C521">
        <v>4.173</v>
      </c>
      <c r="D521" s="2">
        <f t="shared" si="31"/>
        <v>207.90588888888891</v>
      </c>
    </row>
    <row r="522" spans="1:4" x14ac:dyDescent="0.2">
      <c r="A522">
        <v>63</v>
      </c>
      <c r="B522">
        <f t="shared" si="30"/>
        <v>630</v>
      </c>
      <c r="C522">
        <v>4.1580000000000004</v>
      </c>
      <c r="D522" s="2">
        <f t="shared" si="31"/>
        <v>207.8908888888889</v>
      </c>
    </row>
    <row r="523" spans="1:4" x14ac:dyDescent="0.2">
      <c r="A523">
        <v>64</v>
      </c>
      <c r="B523">
        <f t="shared" si="30"/>
        <v>640</v>
      </c>
      <c r="C523">
        <v>4.1319999999999997</v>
      </c>
      <c r="D523" s="2">
        <f t="shared" si="31"/>
        <v>207.86488888888891</v>
      </c>
    </row>
    <row r="524" spans="1:4" x14ac:dyDescent="0.2">
      <c r="A524">
        <v>65</v>
      </c>
      <c r="B524">
        <f t="shared" si="30"/>
        <v>650</v>
      </c>
      <c r="C524">
        <v>4.1100000000000003</v>
      </c>
      <c r="D524" s="2">
        <f t="shared" si="31"/>
        <v>207.84288888888892</v>
      </c>
    </row>
    <row r="525" spans="1:4" x14ac:dyDescent="0.2">
      <c r="A525">
        <v>66</v>
      </c>
      <c r="B525">
        <f t="shared" si="30"/>
        <v>660</v>
      </c>
      <c r="C525">
        <v>4.09</v>
      </c>
      <c r="D525" s="2">
        <f t="shared" si="31"/>
        <v>207.82288888888891</v>
      </c>
    </row>
    <row r="526" spans="1:4" x14ac:dyDescent="0.2">
      <c r="A526">
        <v>67</v>
      </c>
      <c r="B526">
        <f t="shared" si="30"/>
        <v>670</v>
      </c>
      <c r="C526">
        <v>4.0730000000000004</v>
      </c>
      <c r="D526" s="2">
        <f t="shared" si="31"/>
        <v>207.80588888888892</v>
      </c>
    </row>
    <row r="527" spans="1:4" x14ac:dyDescent="0.2">
      <c r="A527">
        <v>68</v>
      </c>
      <c r="B527">
        <f t="shared" si="30"/>
        <v>680</v>
      </c>
      <c r="C527">
        <v>4.056</v>
      </c>
      <c r="D527" s="2">
        <f t="shared" si="31"/>
        <v>207.78888888888892</v>
      </c>
    </row>
    <row r="528" spans="1:4" x14ac:dyDescent="0.2">
      <c r="A528">
        <v>69</v>
      </c>
      <c r="B528">
        <f t="shared" si="30"/>
        <v>690</v>
      </c>
      <c r="C528">
        <v>4.0289999999999999</v>
      </c>
      <c r="D528" s="2">
        <f t="shared" si="31"/>
        <v>207.7618888888889</v>
      </c>
    </row>
    <row r="529" spans="1:4" x14ac:dyDescent="0.2">
      <c r="A529">
        <v>70</v>
      </c>
      <c r="B529">
        <f t="shared" si="30"/>
        <v>700</v>
      </c>
      <c r="C529">
        <v>3.996</v>
      </c>
      <c r="D529" s="2">
        <f t="shared" si="31"/>
        <v>207.72888888888892</v>
      </c>
    </row>
    <row r="530" spans="1:4" x14ac:dyDescent="0.2">
      <c r="A530">
        <v>71</v>
      </c>
      <c r="B530">
        <f t="shared" si="30"/>
        <v>710</v>
      </c>
      <c r="C530">
        <v>3.9740000000000002</v>
      </c>
      <c r="D530" s="2">
        <f t="shared" si="31"/>
        <v>207.7068888888889</v>
      </c>
    </row>
    <row r="531" spans="1:4" x14ac:dyDescent="0.2">
      <c r="A531">
        <v>72</v>
      </c>
      <c r="B531">
        <f t="shared" si="30"/>
        <v>720</v>
      </c>
      <c r="C531">
        <v>3.952</v>
      </c>
      <c r="D531" s="2">
        <f t="shared" si="31"/>
        <v>207.68488888888891</v>
      </c>
    </row>
    <row r="532" spans="1:4" x14ac:dyDescent="0.2">
      <c r="A532">
        <v>73</v>
      </c>
      <c r="B532">
        <f t="shared" si="30"/>
        <v>730</v>
      </c>
      <c r="C532">
        <v>3.92</v>
      </c>
      <c r="D532" s="2">
        <f t="shared" si="31"/>
        <v>207.6528888888889</v>
      </c>
    </row>
    <row r="533" spans="1:4" x14ac:dyDescent="0.2">
      <c r="A533">
        <v>74</v>
      </c>
      <c r="B533">
        <f t="shared" si="30"/>
        <v>740</v>
      </c>
      <c r="C533">
        <v>3.879</v>
      </c>
      <c r="D533" s="2">
        <f t="shared" si="31"/>
        <v>207.6118888888889</v>
      </c>
    </row>
    <row r="534" spans="1:4" x14ac:dyDescent="0.2">
      <c r="A534">
        <v>75</v>
      </c>
      <c r="B534">
        <f t="shared" si="30"/>
        <v>750</v>
      </c>
      <c r="C534">
        <v>3.851</v>
      </c>
      <c r="D534" s="2">
        <f t="shared" si="31"/>
        <v>207.58388888888891</v>
      </c>
    </row>
    <row r="535" spans="1:4" x14ac:dyDescent="0.2">
      <c r="A535">
        <v>76</v>
      </c>
      <c r="B535">
        <f t="shared" si="30"/>
        <v>760</v>
      </c>
      <c r="C535">
        <v>3.8260000000000001</v>
      </c>
      <c r="D535" s="2">
        <f t="shared" si="31"/>
        <v>207.5588888888889</v>
      </c>
    </row>
    <row r="536" spans="1:4" x14ac:dyDescent="0.2">
      <c r="A536">
        <v>77</v>
      </c>
      <c r="B536">
        <f t="shared" si="30"/>
        <v>770</v>
      </c>
      <c r="C536">
        <v>3.8</v>
      </c>
      <c r="D536" s="2">
        <f t="shared" si="31"/>
        <v>207.53288888888892</v>
      </c>
    </row>
    <row r="537" spans="1:4" x14ac:dyDescent="0.2">
      <c r="A537">
        <v>78</v>
      </c>
      <c r="B537">
        <f t="shared" si="30"/>
        <v>780</v>
      </c>
      <c r="C537">
        <v>3.7749999999999999</v>
      </c>
      <c r="D537" s="2">
        <f t="shared" si="31"/>
        <v>207.50788888888891</v>
      </c>
    </row>
    <row r="538" spans="1:4" x14ac:dyDescent="0.2">
      <c r="A538">
        <v>79</v>
      </c>
      <c r="B538">
        <f t="shared" si="30"/>
        <v>790</v>
      </c>
      <c r="C538">
        <v>3.758</v>
      </c>
      <c r="D538" s="2">
        <f t="shared" si="31"/>
        <v>207.49088888888892</v>
      </c>
    </row>
    <row r="539" spans="1:4" x14ac:dyDescent="0.2">
      <c r="A539">
        <v>80</v>
      </c>
      <c r="B539">
        <f t="shared" si="30"/>
        <v>800</v>
      </c>
      <c r="C539">
        <v>3.7509999999999999</v>
      </c>
      <c r="D539" s="2">
        <f t="shared" si="31"/>
        <v>207.48388888888891</v>
      </c>
    </row>
    <row r="540" spans="1:4" x14ac:dyDescent="0.2">
      <c r="A540">
        <v>81</v>
      </c>
      <c r="B540">
        <f t="shared" si="30"/>
        <v>810</v>
      </c>
      <c r="C540">
        <v>3.742</v>
      </c>
      <c r="D540" s="2">
        <f t="shared" si="31"/>
        <v>207.4748888888889</v>
      </c>
    </row>
    <row r="541" spans="1:4" x14ac:dyDescent="0.2">
      <c r="A541">
        <v>82</v>
      </c>
      <c r="B541">
        <f t="shared" si="30"/>
        <v>820</v>
      </c>
      <c r="C541">
        <v>3.7490000000000001</v>
      </c>
      <c r="D541" s="2">
        <f t="shared" si="31"/>
        <v>207.4818888888889</v>
      </c>
    </row>
    <row r="542" spans="1:4" x14ac:dyDescent="0.2">
      <c r="A542">
        <v>83</v>
      </c>
      <c r="B542">
        <f t="shared" si="30"/>
        <v>830</v>
      </c>
      <c r="C542">
        <v>3.75</v>
      </c>
      <c r="D542" s="2">
        <f t="shared" si="31"/>
        <v>207.48288888888891</v>
      </c>
    </row>
    <row r="543" spans="1:4" x14ac:dyDescent="0.2">
      <c r="A543">
        <v>84</v>
      </c>
      <c r="B543">
        <f t="shared" si="30"/>
        <v>840</v>
      </c>
      <c r="C543">
        <v>3.742</v>
      </c>
      <c r="D543" s="2">
        <f t="shared" si="31"/>
        <v>207.4748888888889</v>
      </c>
    </row>
    <row r="544" spans="1:4" x14ac:dyDescent="0.2">
      <c r="A544">
        <v>85</v>
      </c>
      <c r="B544">
        <f t="shared" ref="B544:B551" si="32">A544*10</f>
        <v>850</v>
      </c>
      <c r="C544">
        <v>3.7290000000000001</v>
      </c>
      <c r="D544" s="2">
        <f t="shared" ref="D544:D551" si="33">C544+((-0.7286*$C$9)+227.21)</f>
        <v>207.46188888888892</v>
      </c>
    </row>
    <row r="545" spans="1:10" x14ac:dyDescent="0.2">
      <c r="A545">
        <v>86</v>
      </c>
      <c r="B545">
        <f t="shared" si="32"/>
        <v>860</v>
      </c>
      <c r="C545">
        <v>3.7149999999999999</v>
      </c>
      <c r="D545" s="2">
        <f t="shared" si="33"/>
        <v>207.44788888888891</v>
      </c>
    </row>
    <row r="546" spans="1:10" x14ac:dyDescent="0.2">
      <c r="A546">
        <v>87</v>
      </c>
      <c r="B546">
        <f t="shared" si="32"/>
        <v>870</v>
      </c>
      <c r="C546">
        <v>3.7040000000000002</v>
      </c>
      <c r="D546" s="2">
        <f t="shared" si="33"/>
        <v>207.43688888888892</v>
      </c>
    </row>
    <row r="547" spans="1:10" x14ac:dyDescent="0.2">
      <c r="A547">
        <v>88</v>
      </c>
      <c r="B547">
        <f t="shared" si="32"/>
        <v>880</v>
      </c>
      <c r="C547">
        <v>3.6909999999999998</v>
      </c>
      <c r="D547" s="2">
        <f t="shared" si="33"/>
        <v>207.42388888888891</v>
      </c>
    </row>
    <row r="548" spans="1:10" x14ac:dyDescent="0.2">
      <c r="A548">
        <v>89</v>
      </c>
      <c r="B548">
        <f t="shared" si="32"/>
        <v>890</v>
      </c>
      <c r="C548">
        <v>3.677</v>
      </c>
      <c r="D548" s="2">
        <f t="shared" si="33"/>
        <v>207.4098888888889</v>
      </c>
    </row>
    <row r="549" spans="1:10" x14ac:dyDescent="0.2">
      <c r="A549">
        <v>90</v>
      </c>
      <c r="B549">
        <f t="shared" si="32"/>
        <v>900</v>
      </c>
      <c r="C549">
        <v>3.6619999999999999</v>
      </c>
      <c r="D549" s="2">
        <f t="shared" si="33"/>
        <v>207.39488888888891</v>
      </c>
    </row>
    <row r="550" spans="1:10" x14ac:dyDescent="0.2">
      <c r="A550">
        <v>91</v>
      </c>
      <c r="B550">
        <f t="shared" si="32"/>
        <v>910</v>
      </c>
      <c r="C550">
        <v>3.65</v>
      </c>
      <c r="D550" s="2">
        <f t="shared" si="33"/>
        <v>207.38288888888891</v>
      </c>
    </row>
    <row r="551" spans="1:10" x14ac:dyDescent="0.2">
      <c r="A551">
        <v>92</v>
      </c>
      <c r="B551">
        <f t="shared" si="32"/>
        <v>920</v>
      </c>
      <c r="C551">
        <v>3.6349999999999998</v>
      </c>
      <c r="D551" s="2">
        <f t="shared" si="33"/>
        <v>207.3678888888889</v>
      </c>
    </row>
    <row r="553" spans="1:10" x14ac:dyDescent="0.2">
      <c r="A553" t="s">
        <v>26</v>
      </c>
    </row>
    <row r="554" spans="1:10" x14ac:dyDescent="0.2">
      <c r="A554" t="s">
        <v>9</v>
      </c>
      <c r="B554" t="s">
        <v>10</v>
      </c>
      <c r="C554" t="s">
        <v>11</v>
      </c>
      <c r="D554" t="s">
        <v>12</v>
      </c>
      <c r="E554" t="s">
        <v>14</v>
      </c>
      <c r="F554" t="s">
        <v>13</v>
      </c>
      <c r="G554" t="s">
        <v>18</v>
      </c>
      <c r="H554" t="s">
        <v>5</v>
      </c>
      <c r="I554" t="s">
        <v>23</v>
      </c>
      <c r="J554" t="s">
        <v>24</v>
      </c>
    </row>
    <row r="555" spans="1:10" x14ac:dyDescent="0.2">
      <c r="A555">
        <v>20</v>
      </c>
      <c r="B555">
        <f>A555*10</f>
        <v>200</v>
      </c>
      <c r="C555">
        <v>0.33600000000000002</v>
      </c>
      <c r="D555" s="2">
        <f>C555+((-0.7286*$C$11)+227.21)</f>
        <v>206.69994444444447</v>
      </c>
      <c r="E555" s="2">
        <f>AVERAGE(C555:C627)</f>
        <v>0.54976712328767097</v>
      </c>
      <c r="F555" s="2">
        <f>AVERAGE(D555:D627)</f>
        <v>206.91371156773215</v>
      </c>
      <c r="G555">
        <f>_xlfn.STDEV.S(D555:D627)</f>
        <v>0.15840064538904253</v>
      </c>
      <c r="H555">
        <f>(G555/F555)*100</f>
        <v>7.6553962610250159E-2</v>
      </c>
      <c r="I555" s="2">
        <f>MAX(D555:D627)</f>
        <v>207.12094444444446</v>
      </c>
      <c r="J555" s="2">
        <f>MIN(D555:D627)</f>
        <v>206.63894444444446</v>
      </c>
    </row>
    <row r="556" spans="1:10" x14ac:dyDescent="0.2">
      <c r="A556">
        <v>21</v>
      </c>
      <c r="B556">
        <f t="shared" ref="B556:B619" si="34">A556*10</f>
        <v>210</v>
      </c>
      <c r="C556">
        <v>0.33600000000000002</v>
      </c>
      <c r="D556" s="2">
        <f t="shared" ref="D556:D619" si="35">C556+((-0.7286*$C$11)+227.21)</f>
        <v>206.69994444444447</v>
      </c>
    </row>
    <row r="557" spans="1:10" x14ac:dyDescent="0.2">
      <c r="A557">
        <v>22</v>
      </c>
      <c r="B557">
        <f t="shared" si="34"/>
        <v>220</v>
      </c>
      <c r="C557">
        <v>0.33400000000000002</v>
      </c>
      <c r="D557" s="2">
        <f t="shared" si="35"/>
        <v>206.69794444444446</v>
      </c>
    </row>
    <row r="558" spans="1:10" x14ac:dyDescent="0.2">
      <c r="A558">
        <v>23</v>
      </c>
      <c r="B558">
        <f t="shared" si="34"/>
        <v>230</v>
      </c>
      <c r="C558">
        <v>0.33</v>
      </c>
      <c r="D558" s="2">
        <f t="shared" si="35"/>
        <v>206.69394444444447</v>
      </c>
    </row>
    <row r="559" spans="1:10" x14ac:dyDescent="0.2">
      <c r="A559">
        <v>24</v>
      </c>
      <c r="B559">
        <f t="shared" si="34"/>
        <v>240</v>
      </c>
      <c r="C559">
        <v>0.32500000000000001</v>
      </c>
      <c r="D559" s="2">
        <f t="shared" si="35"/>
        <v>206.68894444444445</v>
      </c>
    </row>
    <row r="560" spans="1:10" x14ac:dyDescent="0.2">
      <c r="A560">
        <v>25</v>
      </c>
      <c r="B560">
        <f t="shared" si="34"/>
        <v>250</v>
      </c>
      <c r="C560">
        <v>0.32100000000000001</v>
      </c>
      <c r="D560" s="2">
        <f t="shared" si="35"/>
        <v>206.68494444444445</v>
      </c>
    </row>
    <row r="561" spans="1:4" x14ac:dyDescent="0.2">
      <c r="A561">
        <v>26</v>
      </c>
      <c r="B561">
        <f t="shared" si="34"/>
        <v>260</v>
      </c>
      <c r="C561">
        <v>0.316</v>
      </c>
      <c r="D561" s="2">
        <f t="shared" si="35"/>
        <v>206.67994444444446</v>
      </c>
    </row>
    <row r="562" spans="1:4" x14ac:dyDescent="0.2">
      <c r="A562">
        <v>27</v>
      </c>
      <c r="B562">
        <f t="shared" si="34"/>
        <v>270</v>
      </c>
      <c r="C562">
        <v>0.311</v>
      </c>
      <c r="D562" s="2">
        <f t="shared" si="35"/>
        <v>206.67494444444446</v>
      </c>
    </row>
    <row r="563" spans="1:4" x14ac:dyDescent="0.2">
      <c r="A563">
        <v>28</v>
      </c>
      <c r="B563">
        <f t="shared" si="34"/>
        <v>280</v>
      </c>
      <c r="C563">
        <v>0.307</v>
      </c>
      <c r="D563" s="2">
        <f t="shared" si="35"/>
        <v>206.67094444444444</v>
      </c>
    </row>
    <row r="564" spans="1:4" x14ac:dyDescent="0.2">
      <c r="A564">
        <v>29</v>
      </c>
      <c r="B564">
        <f t="shared" si="34"/>
        <v>290</v>
      </c>
      <c r="C564">
        <v>0.29899999999999999</v>
      </c>
      <c r="D564" s="2">
        <f t="shared" si="35"/>
        <v>206.66294444444446</v>
      </c>
    </row>
    <row r="565" spans="1:4" x14ac:dyDescent="0.2">
      <c r="A565">
        <v>30</v>
      </c>
      <c r="B565">
        <f t="shared" si="34"/>
        <v>300</v>
      </c>
      <c r="C565">
        <v>0.29499999999999998</v>
      </c>
      <c r="D565" s="2">
        <f t="shared" si="35"/>
        <v>206.65894444444444</v>
      </c>
    </row>
    <row r="566" spans="1:4" x14ac:dyDescent="0.2">
      <c r="A566">
        <v>31</v>
      </c>
      <c r="B566">
        <f t="shared" si="34"/>
        <v>310</v>
      </c>
      <c r="C566">
        <v>0.28999999999999998</v>
      </c>
      <c r="D566" s="2">
        <f t="shared" si="35"/>
        <v>206.65394444444445</v>
      </c>
    </row>
    <row r="567" spans="1:4" x14ac:dyDescent="0.2">
      <c r="A567">
        <v>32</v>
      </c>
      <c r="B567">
        <f t="shared" si="34"/>
        <v>320</v>
      </c>
      <c r="C567">
        <v>0.28799999999999998</v>
      </c>
      <c r="D567" s="2">
        <f t="shared" si="35"/>
        <v>206.65194444444447</v>
      </c>
    </row>
    <row r="568" spans="1:4" x14ac:dyDescent="0.2">
      <c r="A568">
        <v>33</v>
      </c>
      <c r="B568">
        <f t="shared" si="34"/>
        <v>330</v>
      </c>
      <c r="C568">
        <v>0.28499999999999998</v>
      </c>
      <c r="D568" s="2">
        <f t="shared" si="35"/>
        <v>206.64894444444445</v>
      </c>
    </row>
    <row r="569" spans="1:4" x14ac:dyDescent="0.2">
      <c r="A569">
        <v>34</v>
      </c>
      <c r="B569">
        <f t="shared" si="34"/>
        <v>340</v>
      </c>
      <c r="C569">
        <v>0.28199999999999997</v>
      </c>
      <c r="D569" s="2">
        <f t="shared" si="35"/>
        <v>206.64594444444447</v>
      </c>
    </row>
    <row r="570" spans="1:4" x14ac:dyDescent="0.2">
      <c r="A570">
        <v>35</v>
      </c>
      <c r="B570">
        <f t="shared" si="34"/>
        <v>350</v>
      </c>
      <c r="C570">
        <v>0.27500000000000002</v>
      </c>
      <c r="D570" s="2">
        <f t="shared" si="35"/>
        <v>206.63894444444446</v>
      </c>
    </row>
    <row r="571" spans="1:4" x14ac:dyDescent="0.2">
      <c r="A571">
        <v>36</v>
      </c>
      <c r="B571">
        <f t="shared" si="34"/>
        <v>360</v>
      </c>
      <c r="C571">
        <v>0.309</v>
      </c>
      <c r="D571" s="2">
        <f t="shared" si="35"/>
        <v>206.67294444444445</v>
      </c>
    </row>
    <row r="572" spans="1:4" x14ac:dyDescent="0.2">
      <c r="A572">
        <v>37</v>
      </c>
      <c r="B572">
        <f t="shared" si="34"/>
        <v>370</v>
      </c>
      <c r="C572">
        <v>0.34</v>
      </c>
      <c r="D572" s="2">
        <f t="shared" si="35"/>
        <v>206.70394444444446</v>
      </c>
    </row>
    <row r="573" spans="1:4" x14ac:dyDescent="0.2">
      <c r="A573">
        <v>38</v>
      </c>
      <c r="B573">
        <f t="shared" si="34"/>
        <v>380</v>
      </c>
      <c r="C573">
        <v>0.28299999999999997</v>
      </c>
      <c r="D573" s="2">
        <f t="shared" si="35"/>
        <v>206.64694444444444</v>
      </c>
    </row>
    <row r="574" spans="1:4" x14ac:dyDescent="0.2">
      <c r="A574">
        <v>39</v>
      </c>
      <c r="B574">
        <f t="shared" si="34"/>
        <v>390</v>
      </c>
      <c r="C574">
        <v>0.27800000000000002</v>
      </c>
      <c r="D574" s="2">
        <f t="shared" si="35"/>
        <v>206.64194444444445</v>
      </c>
    </row>
    <row r="575" spans="1:4" x14ac:dyDescent="0.2">
      <c r="A575">
        <v>40</v>
      </c>
      <c r="B575">
        <f t="shared" si="34"/>
        <v>400</v>
      </c>
      <c r="C575">
        <v>0.46500000000000002</v>
      </c>
      <c r="D575" s="2">
        <f t="shared" si="35"/>
        <v>206.82894444444446</v>
      </c>
    </row>
    <row r="576" spans="1:4" x14ac:dyDescent="0.2">
      <c r="A576">
        <v>41</v>
      </c>
      <c r="B576">
        <f t="shared" si="34"/>
        <v>410</v>
      </c>
      <c r="C576">
        <v>0.51100000000000001</v>
      </c>
      <c r="D576" s="2">
        <f t="shared" si="35"/>
        <v>206.87494444444445</v>
      </c>
    </row>
    <row r="577" spans="1:4" x14ac:dyDescent="0.2">
      <c r="A577">
        <v>42</v>
      </c>
      <c r="B577">
        <f t="shared" si="34"/>
        <v>420</v>
      </c>
      <c r="C577">
        <v>0.55400000000000005</v>
      </c>
      <c r="D577" s="2">
        <f t="shared" si="35"/>
        <v>206.91794444444446</v>
      </c>
    </row>
    <row r="578" spans="1:4" x14ac:dyDescent="0.2">
      <c r="A578">
        <v>43</v>
      </c>
      <c r="B578">
        <f t="shared" si="34"/>
        <v>430</v>
      </c>
      <c r="C578">
        <v>0.58599999999999997</v>
      </c>
      <c r="D578" s="2">
        <f t="shared" si="35"/>
        <v>206.94994444444447</v>
      </c>
    </row>
    <row r="579" spans="1:4" x14ac:dyDescent="0.2">
      <c r="A579">
        <v>44</v>
      </c>
      <c r="B579">
        <f t="shared" si="34"/>
        <v>440</v>
      </c>
      <c r="C579">
        <v>0.60199999999999998</v>
      </c>
      <c r="D579" s="2">
        <f t="shared" si="35"/>
        <v>206.96594444444446</v>
      </c>
    </row>
    <row r="580" spans="1:4" x14ac:dyDescent="0.2">
      <c r="A580">
        <v>45</v>
      </c>
      <c r="B580">
        <f t="shared" si="34"/>
        <v>450</v>
      </c>
      <c r="C580">
        <v>0.61</v>
      </c>
      <c r="D580" s="2">
        <f t="shared" si="35"/>
        <v>206.97394444444447</v>
      </c>
    </row>
    <row r="581" spans="1:4" x14ac:dyDescent="0.2">
      <c r="A581">
        <v>46</v>
      </c>
      <c r="B581">
        <f t="shared" si="34"/>
        <v>460</v>
      </c>
      <c r="C581">
        <v>0.61599999999999999</v>
      </c>
      <c r="D581" s="2">
        <f t="shared" si="35"/>
        <v>206.97994444444447</v>
      </c>
    </row>
    <row r="582" spans="1:4" x14ac:dyDescent="0.2">
      <c r="A582">
        <v>47</v>
      </c>
      <c r="B582">
        <f t="shared" si="34"/>
        <v>470</v>
      </c>
      <c r="C582">
        <v>0.621</v>
      </c>
      <c r="D582" s="2">
        <f t="shared" si="35"/>
        <v>206.98494444444447</v>
      </c>
    </row>
    <row r="583" spans="1:4" x14ac:dyDescent="0.2">
      <c r="A583">
        <v>48</v>
      </c>
      <c r="B583">
        <f t="shared" si="34"/>
        <v>480</v>
      </c>
      <c r="C583">
        <v>0.74099999999999999</v>
      </c>
      <c r="D583" s="2">
        <f t="shared" si="35"/>
        <v>207.10494444444447</v>
      </c>
    </row>
    <row r="584" spans="1:4" x14ac:dyDescent="0.2">
      <c r="A584">
        <v>49</v>
      </c>
      <c r="B584">
        <f t="shared" si="34"/>
        <v>490</v>
      </c>
      <c r="C584">
        <v>0.75700000000000001</v>
      </c>
      <c r="D584" s="2">
        <f t="shared" si="35"/>
        <v>207.12094444444446</v>
      </c>
    </row>
    <row r="585" spans="1:4" x14ac:dyDescent="0.2">
      <c r="A585">
        <v>50</v>
      </c>
      <c r="B585">
        <f t="shared" si="34"/>
        <v>500</v>
      </c>
      <c r="C585">
        <v>0.747</v>
      </c>
      <c r="D585" s="2">
        <f t="shared" si="35"/>
        <v>207.11094444444447</v>
      </c>
    </row>
    <row r="586" spans="1:4" x14ac:dyDescent="0.2">
      <c r="A586">
        <v>51</v>
      </c>
      <c r="B586">
        <f t="shared" si="34"/>
        <v>510</v>
      </c>
      <c r="C586">
        <v>0.73899999999999999</v>
      </c>
      <c r="D586" s="2">
        <f t="shared" si="35"/>
        <v>207.10294444444446</v>
      </c>
    </row>
    <row r="587" spans="1:4" x14ac:dyDescent="0.2">
      <c r="A587">
        <v>52</v>
      </c>
      <c r="B587">
        <f t="shared" si="34"/>
        <v>520</v>
      </c>
      <c r="C587">
        <v>0.73399999999999999</v>
      </c>
      <c r="D587" s="2">
        <f t="shared" si="35"/>
        <v>207.09794444444447</v>
      </c>
    </row>
    <row r="588" spans="1:4" x14ac:dyDescent="0.2">
      <c r="A588">
        <v>53</v>
      </c>
      <c r="B588">
        <f t="shared" si="34"/>
        <v>530</v>
      </c>
      <c r="C588">
        <v>0.73099999999999998</v>
      </c>
      <c r="D588" s="2">
        <f t="shared" si="35"/>
        <v>207.09494444444445</v>
      </c>
    </row>
    <row r="589" spans="1:4" x14ac:dyDescent="0.2">
      <c r="A589">
        <v>54</v>
      </c>
      <c r="B589">
        <f t="shared" si="34"/>
        <v>540</v>
      </c>
      <c r="C589">
        <v>0.73099999999999998</v>
      </c>
      <c r="D589" s="2">
        <f t="shared" si="35"/>
        <v>207.09494444444445</v>
      </c>
    </row>
    <row r="590" spans="1:4" x14ac:dyDescent="0.2">
      <c r="A590">
        <v>55</v>
      </c>
      <c r="B590">
        <f t="shared" si="34"/>
        <v>550</v>
      </c>
      <c r="C590">
        <v>0.73099999999999998</v>
      </c>
      <c r="D590" s="2">
        <f t="shared" si="35"/>
        <v>207.09494444444445</v>
      </c>
    </row>
    <row r="591" spans="1:4" x14ac:dyDescent="0.2">
      <c r="A591">
        <v>56</v>
      </c>
      <c r="B591">
        <f t="shared" si="34"/>
        <v>560</v>
      </c>
      <c r="C591">
        <v>0.72899999999999998</v>
      </c>
      <c r="D591" s="2">
        <f t="shared" si="35"/>
        <v>207.09294444444447</v>
      </c>
    </row>
    <row r="592" spans="1:4" x14ac:dyDescent="0.2">
      <c r="A592">
        <v>57</v>
      </c>
      <c r="B592">
        <f t="shared" si="34"/>
        <v>570</v>
      </c>
      <c r="C592">
        <v>0.72299999999999998</v>
      </c>
      <c r="D592" s="2">
        <f t="shared" si="35"/>
        <v>207.08694444444447</v>
      </c>
    </row>
    <row r="593" spans="1:4" x14ac:dyDescent="0.2">
      <c r="A593">
        <v>58</v>
      </c>
      <c r="B593">
        <f t="shared" si="34"/>
        <v>580</v>
      </c>
      <c r="C593">
        <v>0.69399999999999995</v>
      </c>
      <c r="D593" s="2">
        <f t="shared" si="35"/>
        <v>207.05794444444444</v>
      </c>
    </row>
    <row r="594" spans="1:4" x14ac:dyDescent="0.2">
      <c r="A594">
        <v>59</v>
      </c>
      <c r="B594">
        <f t="shared" si="34"/>
        <v>590</v>
      </c>
      <c r="C594">
        <v>0.67200000000000004</v>
      </c>
      <c r="D594" s="2">
        <f t="shared" si="35"/>
        <v>207.03594444444445</v>
      </c>
    </row>
    <row r="595" spans="1:4" x14ac:dyDescent="0.2">
      <c r="A595">
        <v>60</v>
      </c>
      <c r="B595">
        <f t="shared" si="34"/>
        <v>600</v>
      </c>
      <c r="C595">
        <v>0.66500000000000004</v>
      </c>
      <c r="D595" s="2">
        <f t="shared" si="35"/>
        <v>207.02894444444445</v>
      </c>
    </row>
    <row r="596" spans="1:4" x14ac:dyDescent="0.2">
      <c r="A596">
        <v>61</v>
      </c>
      <c r="B596">
        <f t="shared" si="34"/>
        <v>610</v>
      </c>
      <c r="C596">
        <v>0.66400000000000003</v>
      </c>
      <c r="D596" s="2">
        <f t="shared" si="35"/>
        <v>207.02794444444444</v>
      </c>
    </row>
    <row r="597" spans="1:4" x14ac:dyDescent="0.2">
      <c r="A597">
        <v>62</v>
      </c>
      <c r="B597">
        <f t="shared" si="34"/>
        <v>620</v>
      </c>
      <c r="C597">
        <v>0.65900000000000003</v>
      </c>
      <c r="D597" s="2">
        <f t="shared" si="35"/>
        <v>207.02294444444445</v>
      </c>
    </row>
    <row r="598" spans="1:4" x14ac:dyDescent="0.2">
      <c r="A598">
        <v>63</v>
      </c>
      <c r="B598">
        <f t="shared" si="34"/>
        <v>630</v>
      </c>
      <c r="C598">
        <v>0.65300000000000002</v>
      </c>
      <c r="D598" s="2">
        <f t="shared" si="35"/>
        <v>207.01694444444445</v>
      </c>
    </row>
    <row r="599" spans="1:4" x14ac:dyDescent="0.2">
      <c r="A599">
        <v>64</v>
      </c>
      <c r="B599">
        <f t="shared" si="34"/>
        <v>640</v>
      </c>
      <c r="C599">
        <v>0.64800000000000002</v>
      </c>
      <c r="D599" s="2">
        <f t="shared" si="35"/>
        <v>207.01194444444445</v>
      </c>
    </row>
    <row r="600" spans="1:4" x14ac:dyDescent="0.2">
      <c r="A600">
        <v>65</v>
      </c>
      <c r="B600">
        <f t="shared" si="34"/>
        <v>650</v>
      </c>
      <c r="C600">
        <v>0.64500000000000002</v>
      </c>
      <c r="D600" s="2">
        <f t="shared" si="35"/>
        <v>207.00894444444447</v>
      </c>
    </row>
    <row r="601" spans="1:4" x14ac:dyDescent="0.2">
      <c r="A601">
        <v>66</v>
      </c>
      <c r="B601">
        <f t="shared" si="34"/>
        <v>660</v>
      </c>
      <c r="C601">
        <v>0.64300000000000002</v>
      </c>
      <c r="D601" s="2">
        <f t="shared" si="35"/>
        <v>207.00694444444446</v>
      </c>
    </row>
    <row r="602" spans="1:4" x14ac:dyDescent="0.2">
      <c r="A602">
        <v>67</v>
      </c>
      <c r="B602">
        <f t="shared" si="34"/>
        <v>670</v>
      </c>
      <c r="C602">
        <v>0.64200000000000002</v>
      </c>
      <c r="D602" s="2">
        <f t="shared" si="35"/>
        <v>207.00594444444445</v>
      </c>
    </row>
    <row r="603" spans="1:4" x14ac:dyDescent="0.2">
      <c r="A603">
        <v>68</v>
      </c>
      <c r="B603">
        <f t="shared" si="34"/>
        <v>680</v>
      </c>
      <c r="C603">
        <v>0.64200000000000002</v>
      </c>
      <c r="D603" s="2">
        <f t="shared" si="35"/>
        <v>207.00594444444445</v>
      </c>
    </row>
    <row r="604" spans="1:4" x14ac:dyDescent="0.2">
      <c r="A604">
        <v>69</v>
      </c>
      <c r="B604">
        <f t="shared" si="34"/>
        <v>690</v>
      </c>
      <c r="C604">
        <v>0.64100000000000001</v>
      </c>
      <c r="D604" s="2">
        <f t="shared" si="35"/>
        <v>207.00494444444445</v>
      </c>
    </row>
    <row r="605" spans="1:4" x14ac:dyDescent="0.2">
      <c r="A605">
        <v>70</v>
      </c>
      <c r="B605">
        <f t="shared" si="34"/>
        <v>700</v>
      </c>
      <c r="C605">
        <v>0.64</v>
      </c>
      <c r="D605" s="2">
        <f t="shared" si="35"/>
        <v>207.00394444444444</v>
      </c>
    </row>
    <row r="606" spans="1:4" x14ac:dyDescent="0.2">
      <c r="A606">
        <v>71</v>
      </c>
      <c r="B606">
        <f t="shared" si="34"/>
        <v>710</v>
      </c>
      <c r="C606">
        <v>0.63600000000000001</v>
      </c>
      <c r="D606" s="2">
        <f t="shared" si="35"/>
        <v>206.99994444444445</v>
      </c>
    </row>
    <row r="607" spans="1:4" x14ac:dyDescent="0.2">
      <c r="A607">
        <v>72</v>
      </c>
      <c r="B607">
        <f t="shared" si="34"/>
        <v>720</v>
      </c>
      <c r="C607">
        <v>0.63100000000000001</v>
      </c>
      <c r="D607" s="2">
        <f t="shared" si="35"/>
        <v>206.99494444444446</v>
      </c>
    </row>
    <row r="608" spans="1:4" x14ac:dyDescent="0.2">
      <c r="A608">
        <v>73</v>
      </c>
      <c r="B608">
        <f t="shared" si="34"/>
        <v>730</v>
      </c>
      <c r="C608">
        <v>0.628</v>
      </c>
      <c r="D608" s="2">
        <f t="shared" si="35"/>
        <v>206.99194444444444</v>
      </c>
    </row>
    <row r="609" spans="1:4" x14ac:dyDescent="0.2">
      <c r="A609">
        <v>74</v>
      </c>
      <c r="B609">
        <f t="shared" si="34"/>
        <v>740</v>
      </c>
      <c r="C609">
        <v>0.625</v>
      </c>
      <c r="D609" s="2">
        <f t="shared" si="35"/>
        <v>206.98894444444446</v>
      </c>
    </row>
    <row r="610" spans="1:4" x14ac:dyDescent="0.2">
      <c r="A610">
        <v>75</v>
      </c>
      <c r="B610">
        <f t="shared" si="34"/>
        <v>750</v>
      </c>
      <c r="C610">
        <v>0.625</v>
      </c>
      <c r="D610" s="2">
        <f t="shared" si="35"/>
        <v>206.98894444444446</v>
      </c>
    </row>
    <row r="611" spans="1:4" x14ac:dyDescent="0.2">
      <c r="A611">
        <v>76</v>
      </c>
      <c r="B611">
        <f t="shared" si="34"/>
        <v>760</v>
      </c>
      <c r="C611">
        <v>0.622</v>
      </c>
      <c r="D611" s="2">
        <f t="shared" si="35"/>
        <v>206.98594444444447</v>
      </c>
    </row>
    <row r="612" spans="1:4" x14ac:dyDescent="0.2">
      <c r="A612">
        <v>77</v>
      </c>
      <c r="B612">
        <f t="shared" si="34"/>
        <v>770</v>
      </c>
      <c r="C612">
        <v>0.61899999999999999</v>
      </c>
      <c r="D612" s="2">
        <f t="shared" si="35"/>
        <v>206.98294444444446</v>
      </c>
    </row>
    <row r="613" spans="1:4" x14ac:dyDescent="0.2">
      <c r="A613">
        <v>78</v>
      </c>
      <c r="B613">
        <f t="shared" si="34"/>
        <v>780</v>
      </c>
      <c r="C613">
        <v>0.61499999999999999</v>
      </c>
      <c r="D613" s="2">
        <f t="shared" si="35"/>
        <v>206.97894444444447</v>
      </c>
    </row>
    <row r="614" spans="1:4" x14ac:dyDescent="0.2">
      <c r="A614">
        <v>79</v>
      </c>
      <c r="B614">
        <f t="shared" si="34"/>
        <v>790</v>
      </c>
      <c r="C614">
        <v>0.61199999999999999</v>
      </c>
      <c r="D614" s="2">
        <f t="shared" si="35"/>
        <v>206.97594444444445</v>
      </c>
    </row>
    <row r="615" spans="1:4" x14ac:dyDescent="0.2">
      <c r="A615">
        <v>80</v>
      </c>
      <c r="B615">
        <f t="shared" si="34"/>
        <v>800</v>
      </c>
      <c r="C615">
        <v>0.61099999999999999</v>
      </c>
      <c r="D615" s="2">
        <f t="shared" si="35"/>
        <v>206.97494444444445</v>
      </c>
    </row>
    <row r="616" spans="1:4" x14ac:dyDescent="0.2">
      <c r="A616">
        <v>81</v>
      </c>
      <c r="B616">
        <f t="shared" si="34"/>
        <v>810</v>
      </c>
      <c r="C616">
        <v>0.61099999999999999</v>
      </c>
      <c r="D616" s="2">
        <f t="shared" si="35"/>
        <v>206.97494444444445</v>
      </c>
    </row>
    <row r="617" spans="1:4" x14ac:dyDescent="0.2">
      <c r="A617">
        <v>82</v>
      </c>
      <c r="B617">
        <f t="shared" si="34"/>
        <v>820</v>
      </c>
      <c r="C617">
        <v>0.60899999999999999</v>
      </c>
      <c r="D617" s="2">
        <f t="shared" si="35"/>
        <v>206.97294444444447</v>
      </c>
    </row>
    <row r="618" spans="1:4" x14ac:dyDescent="0.2">
      <c r="A618">
        <v>83</v>
      </c>
      <c r="B618">
        <f t="shared" si="34"/>
        <v>830</v>
      </c>
      <c r="C618">
        <v>0.61</v>
      </c>
      <c r="D618" s="2">
        <f t="shared" si="35"/>
        <v>206.97394444444447</v>
      </c>
    </row>
    <row r="619" spans="1:4" x14ac:dyDescent="0.2">
      <c r="A619">
        <v>84</v>
      </c>
      <c r="B619">
        <f t="shared" si="34"/>
        <v>840</v>
      </c>
      <c r="C619">
        <v>0.61099999999999999</v>
      </c>
      <c r="D619" s="2">
        <f t="shared" si="35"/>
        <v>206.97494444444445</v>
      </c>
    </row>
    <row r="620" spans="1:4" x14ac:dyDescent="0.2">
      <c r="A620">
        <v>85</v>
      </c>
      <c r="B620">
        <f t="shared" ref="B620:B627" si="36">A620*10</f>
        <v>850</v>
      </c>
      <c r="C620">
        <v>0.61099999999999999</v>
      </c>
      <c r="D620" s="2">
        <f t="shared" ref="D620:D627" si="37">C620+((-0.7286*$C$11)+227.21)</f>
        <v>206.97494444444445</v>
      </c>
    </row>
    <row r="621" spans="1:4" x14ac:dyDescent="0.2">
      <c r="A621">
        <v>86</v>
      </c>
      <c r="B621">
        <f t="shared" si="36"/>
        <v>860</v>
      </c>
      <c r="C621">
        <v>0.61299999999999999</v>
      </c>
      <c r="D621" s="2">
        <f t="shared" si="37"/>
        <v>206.97694444444446</v>
      </c>
    </row>
    <row r="622" spans="1:4" x14ac:dyDescent="0.2">
      <c r="A622">
        <v>87</v>
      </c>
      <c r="B622">
        <f t="shared" si="36"/>
        <v>870</v>
      </c>
      <c r="C622">
        <v>0.61399999999999999</v>
      </c>
      <c r="D622" s="2">
        <f t="shared" si="37"/>
        <v>206.97794444444446</v>
      </c>
    </row>
    <row r="623" spans="1:4" x14ac:dyDescent="0.2">
      <c r="A623">
        <v>88</v>
      </c>
      <c r="B623">
        <f t="shared" si="36"/>
        <v>880</v>
      </c>
      <c r="C623">
        <v>0.61399999999999999</v>
      </c>
      <c r="D623" s="2">
        <f t="shared" si="37"/>
        <v>206.97794444444446</v>
      </c>
    </row>
    <row r="624" spans="1:4" x14ac:dyDescent="0.2">
      <c r="A624">
        <v>89</v>
      </c>
      <c r="B624">
        <f t="shared" si="36"/>
        <v>890</v>
      </c>
      <c r="C624">
        <v>0.61199999999999999</v>
      </c>
      <c r="D624" s="2">
        <f t="shared" si="37"/>
        <v>206.97594444444445</v>
      </c>
    </row>
    <row r="625" spans="1:10" x14ac:dyDescent="0.2">
      <c r="A625">
        <v>90</v>
      </c>
      <c r="B625">
        <f t="shared" si="36"/>
        <v>900</v>
      </c>
      <c r="C625">
        <v>0.61199999999999999</v>
      </c>
      <c r="D625" s="2">
        <f t="shared" si="37"/>
        <v>206.97594444444445</v>
      </c>
    </row>
    <row r="626" spans="1:10" x14ac:dyDescent="0.2">
      <c r="A626">
        <v>91</v>
      </c>
      <c r="B626">
        <f t="shared" si="36"/>
        <v>910</v>
      </c>
      <c r="C626">
        <v>0.61</v>
      </c>
      <c r="D626" s="2">
        <f t="shared" si="37"/>
        <v>206.97394444444447</v>
      </c>
    </row>
    <row r="627" spans="1:10" x14ac:dyDescent="0.2">
      <c r="A627">
        <v>92</v>
      </c>
      <c r="B627">
        <f t="shared" si="36"/>
        <v>920</v>
      </c>
      <c r="C627">
        <v>0.60599999999999998</v>
      </c>
      <c r="D627" s="2">
        <f t="shared" si="37"/>
        <v>206.96994444444445</v>
      </c>
    </row>
    <row r="629" spans="1:10" x14ac:dyDescent="0.2">
      <c r="A629" t="s">
        <v>27</v>
      </c>
    </row>
    <row r="630" spans="1:10" x14ac:dyDescent="0.2">
      <c r="A630" t="s">
        <v>9</v>
      </c>
      <c r="B630" t="s">
        <v>10</v>
      </c>
      <c r="C630" t="s">
        <v>11</v>
      </c>
      <c r="D630" t="s">
        <v>12</v>
      </c>
      <c r="E630" t="s">
        <v>14</v>
      </c>
      <c r="F630" t="s">
        <v>13</v>
      </c>
      <c r="G630" t="s">
        <v>18</v>
      </c>
      <c r="H630" t="s">
        <v>5</v>
      </c>
      <c r="I630" t="s">
        <v>23</v>
      </c>
      <c r="J630" t="s">
        <v>24</v>
      </c>
    </row>
    <row r="631" spans="1:10" x14ac:dyDescent="0.2">
      <c r="A631">
        <v>20</v>
      </c>
      <c r="B631">
        <f>A631*10</f>
        <v>200</v>
      </c>
      <c r="C631">
        <v>-6.0000000000000001E-3</v>
      </c>
      <c r="D631" s="2">
        <f>C631+((-0.7286*$C$12)+227.21)</f>
        <v>206.96511111111113</v>
      </c>
      <c r="E631" s="2">
        <f>AVERAGE(C631:C703)</f>
        <v>-7.260273972602739E-4</v>
      </c>
      <c r="F631" s="2">
        <f>AVERAGE(D631:D703)</f>
        <v>206.97038508371378</v>
      </c>
      <c r="G631">
        <f>_xlfn.STDEV.S(D631:D703)</f>
        <v>3.237198179722471E-3</v>
      </c>
      <c r="H631">
        <f>(G631/F631)*100</f>
        <v>1.5640876246198769E-3</v>
      </c>
      <c r="I631" s="2">
        <f>MAX(D631:D703)</f>
        <v>206.97911111111114</v>
      </c>
      <c r="J631" s="2">
        <f>MIN(D631:D703)</f>
        <v>206.96411111111112</v>
      </c>
    </row>
    <row r="632" spans="1:10" x14ac:dyDescent="0.2">
      <c r="A632">
        <v>21</v>
      </c>
      <c r="B632">
        <f t="shared" ref="B632:B695" si="38">A632*10</f>
        <v>210</v>
      </c>
      <c r="C632">
        <v>-6.0000000000000001E-3</v>
      </c>
      <c r="D632" s="2">
        <f t="shared" ref="D632:D695" si="39">C632+((-0.7286*$C$12)+227.21)</f>
        <v>206.96511111111113</v>
      </c>
    </row>
    <row r="633" spans="1:10" x14ac:dyDescent="0.2">
      <c r="A633">
        <v>22</v>
      </c>
      <c r="B633">
        <f t="shared" si="38"/>
        <v>220</v>
      </c>
      <c r="C633">
        <v>-5.0000000000000001E-3</v>
      </c>
      <c r="D633" s="2">
        <f t="shared" si="39"/>
        <v>206.96611111111113</v>
      </c>
    </row>
    <row r="634" spans="1:10" x14ac:dyDescent="0.2">
      <c r="A634">
        <v>23</v>
      </c>
      <c r="B634">
        <f t="shared" si="38"/>
        <v>230</v>
      </c>
      <c r="C634">
        <v>-5.0000000000000001E-3</v>
      </c>
      <c r="D634" s="2">
        <f t="shared" si="39"/>
        <v>206.96611111111113</v>
      </c>
    </row>
    <row r="635" spans="1:10" x14ac:dyDescent="0.2">
      <c r="A635">
        <v>24</v>
      </c>
      <c r="B635">
        <f t="shared" si="38"/>
        <v>240</v>
      </c>
      <c r="C635">
        <v>-5.0000000000000001E-3</v>
      </c>
      <c r="D635" s="2">
        <f t="shared" si="39"/>
        <v>206.96611111111113</v>
      </c>
    </row>
    <row r="636" spans="1:10" x14ac:dyDescent="0.2">
      <c r="A636">
        <v>25</v>
      </c>
      <c r="B636">
        <f t="shared" si="38"/>
        <v>250</v>
      </c>
      <c r="C636">
        <v>-5.0000000000000001E-3</v>
      </c>
      <c r="D636" s="2">
        <f t="shared" si="39"/>
        <v>206.96611111111113</v>
      </c>
    </row>
    <row r="637" spans="1:10" x14ac:dyDescent="0.2">
      <c r="A637">
        <v>26</v>
      </c>
      <c r="B637">
        <f t="shared" si="38"/>
        <v>260</v>
      </c>
      <c r="C637">
        <v>-6.0000000000000001E-3</v>
      </c>
      <c r="D637" s="2">
        <f t="shared" si="39"/>
        <v>206.96511111111113</v>
      </c>
    </row>
    <row r="638" spans="1:10" x14ac:dyDescent="0.2">
      <c r="A638">
        <v>27</v>
      </c>
      <c r="B638">
        <f t="shared" si="38"/>
        <v>270</v>
      </c>
      <c r="C638">
        <v>-6.0000000000000001E-3</v>
      </c>
      <c r="D638" s="2">
        <f t="shared" si="39"/>
        <v>206.96511111111113</v>
      </c>
    </row>
    <row r="639" spans="1:10" x14ac:dyDescent="0.2">
      <c r="A639">
        <v>28</v>
      </c>
      <c r="B639">
        <f t="shared" si="38"/>
        <v>280</v>
      </c>
      <c r="C639">
        <v>-6.0000000000000001E-3</v>
      </c>
      <c r="D639" s="2">
        <f t="shared" si="39"/>
        <v>206.96511111111113</v>
      </c>
    </row>
    <row r="640" spans="1:10" x14ac:dyDescent="0.2">
      <c r="A640">
        <v>29</v>
      </c>
      <c r="B640">
        <f t="shared" si="38"/>
        <v>290</v>
      </c>
      <c r="C640">
        <v>-5.0000000000000001E-3</v>
      </c>
      <c r="D640" s="2">
        <f t="shared" si="39"/>
        <v>206.96611111111113</v>
      </c>
    </row>
    <row r="641" spans="1:4" x14ac:dyDescent="0.2">
      <c r="A641">
        <v>30</v>
      </c>
      <c r="B641">
        <f t="shared" si="38"/>
        <v>300</v>
      </c>
      <c r="C641">
        <v>-6.0000000000000001E-3</v>
      </c>
      <c r="D641" s="2">
        <f t="shared" si="39"/>
        <v>206.96511111111113</v>
      </c>
    </row>
    <row r="642" spans="1:4" x14ac:dyDescent="0.2">
      <c r="A642">
        <v>31</v>
      </c>
      <c r="B642">
        <f t="shared" si="38"/>
        <v>310</v>
      </c>
      <c r="C642">
        <v>-7.0000000000000001E-3</v>
      </c>
      <c r="D642" s="2">
        <f t="shared" si="39"/>
        <v>206.96411111111112</v>
      </c>
    </row>
    <row r="643" spans="1:4" x14ac:dyDescent="0.2">
      <c r="A643">
        <v>32</v>
      </c>
      <c r="B643">
        <f t="shared" si="38"/>
        <v>320</v>
      </c>
      <c r="C643">
        <v>-6.0000000000000001E-3</v>
      </c>
      <c r="D643" s="2">
        <f t="shared" si="39"/>
        <v>206.96511111111113</v>
      </c>
    </row>
    <row r="644" spans="1:4" x14ac:dyDescent="0.2">
      <c r="A644">
        <v>33</v>
      </c>
      <c r="B644">
        <f t="shared" si="38"/>
        <v>330</v>
      </c>
      <c r="C644">
        <v>-5.0000000000000001E-3</v>
      </c>
      <c r="D644" s="2">
        <f t="shared" si="39"/>
        <v>206.96611111111113</v>
      </c>
    </row>
    <row r="645" spans="1:4" x14ac:dyDescent="0.2">
      <c r="A645">
        <v>34</v>
      </c>
      <c r="B645">
        <f t="shared" si="38"/>
        <v>340</v>
      </c>
      <c r="C645">
        <v>-4.0000000000000001E-3</v>
      </c>
      <c r="D645" s="2">
        <f t="shared" si="39"/>
        <v>206.96711111111114</v>
      </c>
    </row>
    <row r="646" spans="1:4" x14ac:dyDescent="0.2">
      <c r="A646">
        <v>35</v>
      </c>
      <c r="B646">
        <f t="shared" si="38"/>
        <v>350</v>
      </c>
      <c r="C646">
        <v>-4.0000000000000001E-3</v>
      </c>
      <c r="D646" s="2">
        <f t="shared" si="39"/>
        <v>206.96711111111114</v>
      </c>
    </row>
    <row r="647" spans="1:4" x14ac:dyDescent="0.2">
      <c r="A647">
        <v>36</v>
      </c>
      <c r="B647">
        <f t="shared" si="38"/>
        <v>360</v>
      </c>
      <c r="C647">
        <v>-3.0000000000000001E-3</v>
      </c>
      <c r="D647" s="2">
        <f t="shared" si="39"/>
        <v>206.96811111111114</v>
      </c>
    </row>
    <row r="648" spans="1:4" x14ac:dyDescent="0.2">
      <c r="A648">
        <v>37</v>
      </c>
      <c r="B648">
        <f t="shared" si="38"/>
        <v>370</v>
      </c>
      <c r="C648">
        <v>-3.0000000000000001E-3</v>
      </c>
      <c r="D648" s="2">
        <f t="shared" si="39"/>
        <v>206.96811111111114</v>
      </c>
    </row>
    <row r="649" spans="1:4" x14ac:dyDescent="0.2">
      <c r="A649">
        <v>38</v>
      </c>
      <c r="B649">
        <f t="shared" si="38"/>
        <v>380</v>
      </c>
      <c r="C649">
        <v>-1E-3</v>
      </c>
      <c r="D649" s="2">
        <f t="shared" si="39"/>
        <v>206.97011111111112</v>
      </c>
    </row>
    <row r="650" spans="1:4" x14ac:dyDescent="0.2">
      <c r="A650">
        <v>39</v>
      </c>
      <c r="B650">
        <f t="shared" si="38"/>
        <v>390</v>
      </c>
      <c r="C650">
        <v>-1E-3</v>
      </c>
      <c r="D650" s="2">
        <f t="shared" si="39"/>
        <v>206.97011111111112</v>
      </c>
    </row>
    <row r="651" spans="1:4" x14ac:dyDescent="0.2">
      <c r="A651">
        <v>40</v>
      </c>
      <c r="B651">
        <f t="shared" si="38"/>
        <v>400</v>
      </c>
      <c r="C651">
        <v>-1E-3</v>
      </c>
      <c r="D651" s="2">
        <f t="shared" si="39"/>
        <v>206.97011111111112</v>
      </c>
    </row>
    <row r="652" spans="1:4" x14ac:dyDescent="0.2">
      <c r="A652">
        <v>41</v>
      </c>
      <c r="B652">
        <f t="shared" si="38"/>
        <v>410</v>
      </c>
      <c r="C652">
        <v>2E-3</v>
      </c>
      <c r="D652" s="2">
        <f t="shared" si="39"/>
        <v>206.97311111111114</v>
      </c>
    </row>
    <row r="653" spans="1:4" x14ac:dyDescent="0.2">
      <c r="A653">
        <v>42</v>
      </c>
      <c r="B653">
        <f t="shared" si="38"/>
        <v>420</v>
      </c>
      <c r="C653">
        <v>-2E-3</v>
      </c>
      <c r="D653" s="2">
        <f t="shared" si="39"/>
        <v>206.96911111111112</v>
      </c>
    </row>
    <row r="654" spans="1:4" x14ac:dyDescent="0.2">
      <c r="A654">
        <v>43</v>
      </c>
      <c r="B654">
        <f t="shared" si="38"/>
        <v>430</v>
      </c>
      <c r="C654">
        <v>-2E-3</v>
      </c>
      <c r="D654" s="2">
        <f t="shared" si="39"/>
        <v>206.96911111111112</v>
      </c>
    </row>
    <row r="655" spans="1:4" x14ac:dyDescent="0.2">
      <c r="A655">
        <v>44</v>
      </c>
      <c r="B655">
        <f t="shared" si="38"/>
        <v>440</v>
      </c>
      <c r="C655">
        <v>-2E-3</v>
      </c>
      <c r="D655" s="2">
        <f t="shared" si="39"/>
        <v>206.96911111111112</v>
      </c>
    </row>
    <row r="656" spans="1:4" x14ac:dyDescent="0.2">
      <c r="A656">
        <v>45</v>
      </c>
      <c r="B656">
        <f t="shared" si="38"/>
        <v>450</v>
      </c>
      <c r="C656">
        <v>-2E-3</v>
      </c>
      <c r="D656" s="2">
        <f t="shared" si="39"/>
        <v>206.96911111111112</v>
      </c>
    </row>
    <row r="657" spans="1:4" x14ac:dyDescent="0.2">
      <c r="A657">
        <v>46</v>
      </c>
      <c r="B657">
        <f t="shared" si="38"/>
        <v>460</v>
      </c>
      <c r="C657">
        <v>-2E-3</v>
      </c>
      <c r="D657" s="2">
        <f t="shared" si="39"/>
        <v>206.96911111111112</v>
      </c>
    </row>
    <row r="658" spans="1:4" x14ac:dyDescent="0.2">
      <c r="A658">
        <v>47</v>
      </c>
      <c r="B658">
        <f t="shared" si="38"/>
        <v>470</v>
      </c>
      <c r="C658">
        <v>-2E-3</v>
      </c>
      <c r="D658" s="2">
        <f t="shared" si="39"/>
        <v>206.96911111111112</v>
      </c>
    </row>
    <row r="659" spans="1:4" x14ac:dyDescent="0.2">
      <c r="A659">
        <v>48</v>
      </c>
      <c r="B659">
        <f t="shared" si="38"/>
        <v>480</v>
      </c>
      <c r="C659">
        <v>-2E-3</v>
      </c>
      <c r="D659" s="2">
        <f t="shared" si="39"/>
        <v>206.96911111111112</v>
      </c>
    </row>
    <row r="660" spans="1:4" x14ac:dyDescent="0.2">
      <c r="A660">
        <v>49</v>
      </c>
      <c r="B660">
        <f t="shared" si="38"/>
        <v>490</v>
      </c>
      <c r="C660">
        <v>-2E-3</v>
      </c>
      <c r="D660" s="2">
        <f t="shared" si="39"/>
        <v>206.96911111111112</v>
      </c>
    </row>
    <row r="661" spans="1:4" x14ac:dyDescent="0.2">
      <c r="A661">
        <v>50</v>
      </c>
      <c r="B661">
        <f t="shared" si="38"/>
        <v>500</v>
      </c>
      <c r="C661">
        <v>-2E-3</v>
      </c>
      <c r="D661" s="2">
        <f t="shared" si="39"/>
        <v>206.96911111111112</v>
      </c>
    </row>
    <row r="662" spans="1:4" x14ac:dyDescent="0.2">
      <c r="A662">
        <v>51</v>
      </c>
      <c r="B662">
        <f t="shared" si="38"/>
        <v>510</v>
      </c>
      <c r="C662">
        <v>0</v>
      </c>
      <c r="D662" s="2">
        <f t="shared" si="39"/>
        <v>206.97111111111113</v>
      </c>
    </row>
    <row r="663" spans="1:4" x14ac:dyDescent="0.2">
      <c r="A663">
        <v>52</v>
      </c>
      <c r="B663">
        <f t="shared" si="38"/>
        <v>520</v>
      </c>
      <c r="C663">
        <v>1E-3</v>
      </c>
      <c r="D663" s="2">
        <f t="shared" si="39"/>
        <v>206.97211111111113</v>
      </c>
    </row>
    <row r="664" spans="1:4" x14ac:dyDescent="0.2">
      <c r="A664">
        <v>53</v>
      </c>
      <c r="B664">
        <f t="shared" si="38"/>
        <v>530</v>
      </c>
      <c r="C664">
        <v>-2E-3</v>
      </c>
      <c r="D664" s="2">
        <f t="shared" si="39"/>
        <v>206.96911111111112</v>
      </c>
    </row>
    <row r="665" spans="1:4" x14ac:dyDescent="0.2">
      <c r="A665">
        <v>54</v>
      </c>
      <c r="B665">
        <f t="shared" si="38"/>
        <v>540</v>
      </c>
      <c r="C665">
        <v>-1E-3</v>
      </c>
      <c r="D665" s="2">
        <f t="shared" si="39"/>
        <v>206.97011111111112</v>
      </c>
    </row>
    <row r="666" spans="1:4" x14ac:dyDescent="0.2">
      <c r="A666">
        <v>55</v>
      </c>
      <c r="B666">
        <f t="shared" si="38"/>
        <v>550</v>
      </c>
      <c r="C666">
        <v>-2E-3</v>
      </c>
      <c r="D666" s="2">
        <f t="shared" si="39"/>
        <v>206.96911111111112</v>
      </c>
    </row>
    <row r="667" spans="1:4" x14ac:dyDescent="0.2">
      <c r="A667">
        <v>56</v>
      </c>
      <c r="B667">
        <f t="shared" si="38"/>
        <v>560</v>
      </c>
      <c r="C667">
        <v>0</v>
      </c>
      <c r="D667" s="2">
        <f t="shared" si="39"/>
        <v>206.97111111111113</v>
      </c>
    </row>
    <row r="668" spans="1:4" x14ac:dyDescent="0.2">
      <c r="A668">
        <v>57</v>
      </c>
      <c r="B668">
        <f t="shared" si="38"/>
        <v>570</v>
      </c>
      <c r="C668">
        <v>1E-3</v>
      </c>
      <c r="D668" s="2">
        <f t="shared" si="39"/>
        <v>206.97211111111113</v>
      </c>
    </row>
    <row r="669" spans="1:4" x14ac:dyDescent="0.2">
      <c r="A669">
        <v>58</v>
      </c>
      <c r="B669">
        <f t="shared" si="38"/>
        <v>580</v>
      </c>
      <c r="C669">
        <v>4.0000000000000001E-3</v>
      </c>
      <c r="D669" s="2">
        <f t="shared" si="39"/>
        <v>206.97511111111112</v>
      </c>
    </row>
    <row r="670" spans="1:4" x14ac:dyDescent="0.2">
      <c r="A670">
        <v>59</v>
      </c>
      <c r="B670">
        <f t="shared" si="38"/>
        <v>590</v>
      </c>
      <c r="C670">
        <v>6.0000000000000001E-3</v>
      </c>
      <c r="D670" s="2">
        <f t="shared" si="39"/>
        <v>206.97711111111113</v>
      </c>
    </row>
    <row r="671" spans="1:4" x14ac:dyDescent="0.2">
      <c r="A671">
        <v>60</v>
      </c>
      <c r="B671">
        <f t="shared" si="38"/>
        <v>600</v>
      </c>
      <c r="C671">
        <v>4.0000000000000001E-3</v>
      </c>
      <c r="D671" s="2">
        <f t="shared" si="39"/>
        <v>206.97511111111112</v>
      </c>
    </row>
    <row r="672" spans="1:4" x14ac:dyDescent="0.2">
      <c r="A672">
        <v>61</v>
      </c>
      <c r="B672">
        <f t="shared" si="38"/>
        <v>610</v>
      </c>
      <c r="C672">
        <v>1E-3</v>
      </c>
      <c r="D672" s="2">
        <f t="shared" si="39"/>
        <v>206.97211111111113</v>
      </c>
    </row>
    <row r="673" spans="1:4" x14ac:dyDescent="0.2">
      <c r="A673">
        <v>62</v>
      </c>
      <c r="B673">
        <f t="shared" si="38"/>
        <v>620</v>
      </c>
      <c r="C673">
        <v>1E-3</v>
      </c>
      <c r="D673" s="2">
        <f t="shared" si="39"/>
        <v>206.97211111111113</v>
      </c>
    </row>
    <row r="674" spans="1:4" x14ac:dyDescent="0.2">
      <c r="A674">
        <v>63</v>
      </c>
      <c r="B674">
        <f t="shared" si="38"/>
        <v>630</v>
      </c>
      <c r="C674">
        <v>3.0000000000000001E-3</v>
      </c>
      <c r="D674" s="2">
        <f t="shared" si="39"/>
        <v>206.97411111111111</v>
      </c>
    </row>
    <row r="675" spans="1:4" x14ac:dyDescent="0.2">
      <c r="A675">
        <v>64</v>
      </c>
      <c r="B675">
        <f t="shared" si="38"/>
        <v>640</v>
      </c>
      <c r="C675">
        <v>-2E-3</v>
      </c>
      <c r="D675" s="2">
        <f t="shared" si="39"/>
        <v>206.96911111111112</v>
      </c>
    </row>
    <row r="676" spans="1:4" x14ac:dyDescent="0.2">
      <c r="A676">
        <v>65</v>
      </c>
      <c r="B676">
        <f t="shared" si="38"/>
        <v>650</v>
      </c>
      <c r="C676">
        <v>-1E-3</v>
      </c>
      <c r="D676" s="2">
        <f t="shared" si="39"/>
        <v>206.97011111111112</v>
      </c>
    </row>
    <row r="677" spans="1:4" x14ac:dyDescent="0.2">
      <c r="A677">
        <v>66</v>
      </c>
      <c r="B677">
        <f t="shared" si="38"/>
        <v>660</v>
      </c>
      <c r="C677">
        <v>2E-3</v>
      </c>
      <c r="D677" s="2">
        <f t="shared" si="39"/>
        <v>206.97311111111114</v>
      </c>
    </row>
    <row r="678" spans="1:4" x14ac:dyDescent="0.2">
      <c r="A678">
        <v>67</v>
      </c>
      <c r="B678">
        <f t="shared" si="38"/>
        <v>670</v>
      </c>
      <c r="C678">
        <v>2E-3</v>
      </c>
      <c r="D678" s="2">
        <f t="shared" si="39"/>
        <v>206.97311111111114</v>
      </c>
    </row>
    <row r="679" spans="1:4" x14ac:dyDescent="0.2">
      <c r="A679">
        <v>68</v>
      </c>
      <c r="B679">
        <f t="shared" si="38"/>
        <v>680</v>
      </c>
      <c r="C679">
        <v>0</v>
      </c>
      <c r="D679" s="2">
        <f t="shared" si="39"/>
        <v>206.97111111111113</v>
      </c>
    </row>
    <row r="680" spans="1:4" x14ac:dyDescent="0.2">
      <c r="A680">
        <v>69</v>
      </c>
      <c r="B680">
        <f t="shared" si="38"/>
        <v>690</v>
      </c>
      <c r="C680">
        <v>2E-3</v>
      </c>
      <c r="D680" s="2">
        <f t="shared" si="39"/>
        <v>206.97311111111114</v>
      </c>
    </row>
    <row r="681" spans="1:4" x14ac:dyDescent="0.2">
      <c r="A681">
        <v>70</v>
      </c>
      <c r="B681">
        <f t="shared" si="38"/>
        <v>700</v>
      </c>
      <c r="C681">
        <v>3.0000000000000001E-3</v>
      </c>
      <c r="D681" s="2">
        <f t="shared" si="39"/>
        <v>206.97411111111111</v>
      </c>
    </row>
    <row r="682" spans="1:4" x14ac:dyDescent="0.2">
      <c r="A682">
        <v>71</v>
      </c>
      <c r="B682">
        <f t="shared" si="38"/>
        <v>710</v>
      </c>
      <c r="C682">
        <v>5.0000000000000001E-3</v>
      </c>
      <c r="D682" s="2">
        <f t="shared" si="39"/>
        <v>206.97611111111112</v>
      </c>
    </row>
    <row r="683" spans="1:4" x14ac:dyDescent="0.2">
      <c r="A683">
        <v>72</v>
      </c>
      <c r="B683">
        <f t="shared" si="38"/>
        <v>720</v>
      </c>
      <c r="C683">
        <v>2E-3</v>
      </c>
      <c r="D683" s="2">
        <f t="shared" si="39"/>
        <v>206.97311111111114</v>
      </c>
    </row>
    <row r="684" spans="1:4" x14ac:dyDescent="0.2">
      <c r="A684">
        <v>73</v>
      </c>
      <c r="B684">
        <f t="shared" si="38"/>
        <v>730</v>
      </c>
      <c r="C684">
        <v>8.0000000000000002E-3</v>
      </c>
      <c r="D684" s="2">
        <f t="shared" si="39"/>
        <v>206.97911111111114</v>
      </c>
    </row>
    <row r="685" spans="1:4" x14ac:dyDescent="0.2">
      <c r="A685">
        <v>74</v>
      </c>
      <c r="B685">
        <f t="shared" si="38"/>
        <v>740</v>
      </c>
      <c r="C685">
        <v>0</v>
      </c>
      <c r="D685" s="2">
        <f t="shared" si="39"/>
        <v>206.97111111111113</v>
      </c>
    </row>
    <row r="686" spans="1:4" x14ac:dyDescent="0.2">
      <c r="A686">
        <v>75</v>
      </c>
      <c r="B686">
        <f t="shared" si="38"/>
        <v>750</v>
      </c>
      <c r="C686">
        <v>0</v>
      </c>
      <c r="D686" s="2">
        <f t="shared" si="39"/>
        <v>206.97111111111113</v>
      </c>
    </row>
    <row r="687" spans="1:4" x14ac:dyDescent="0.2">
      <c r="A687">
        <v>76</v>
      </c>
      <c r="B687">
        <f t="shared" si="38"/>
        <v>760</v>
      </c>
      <c r="C687">
        <v>2E-3</v>
      </c>
      <c r="D687" s="2">
        <f t="shared" si="39"/>
        <v>206.97311111111114</v>
      </c>
    </row>
    <row r="688" spans="1:4" x14ac:dyDescent="0.2">
      <c r="A688">
        <v>77</v>
      </c>
      <c r="B688">
        <f t="shared" si="38"/>
        <v>770</v>
      </c>
      <c r="C688">
        <v>1E-3</v>
      </c>
      <c r="D688" s="2">
        <f t="shared" si="39"/>
        <v>206.97211111111113</v>
      </c>
    </row>
    <row r="689" spans="1:4" x14ac:dyDescent="0.2">
      <c r="A689">
        <v>78</v>
      </c>
      <c r="B689">
        <f t="shared" si="38"/>
        <v>780</v>
      </c>
      <c r="C689">
        <v>2E-3</v>
      </c>
      <c r="D689" s="2">
        <f t="shared" si="39"/>
        <v>206.97311111111114</v>
      </c>
    </row>
    <row r="690" spans="1:4" x14ac:dyDescent="0.2">
      <c r="A690">
        <v>79</v>
      </c>
      <c r="B690">
        <f t="shared" si="38"/>
        <v>790</v>
      </c>
      <c r="C690">
        <v>2E-3</v>
      </c>
      <c r="D690" s="2">
        <f t="shared" si="39"/>
        <v>206.97311111111114</v>
      </c>
    </row>
    <row r="691" spans="1:4" x14ac:dyDescent="0.2">
      <c r="A691">
        <v>80</v>
      </c>
      <c r="B691">
        <f t="shared" si="38"/>
        <v>800</v>
      </c>
      <c r="C691">
        <v>2E-3</v>
      </c>
      <c r="D691" s="2">
        <f t="shared" si="39"/>
        <v>206.97311111111114</v>
      </c>
    </row>
    <row r="692" spans="1:4" x14ac:dyDescent="0.2">
      <c r="A692">
        <v>81</v>
      </c>
      <c r="B692">
        <f t="shared" si="38"/>
        <v>810</v>
      </c>
      <c r="C692">
        <v>2E-3</v>
      </c>
      <c r="D692" s="2">
        <f t="shared" si="39"/>
        <v>206.97311111111114</v>
      </c>
    </row>
    <row r="693" spans="1:4" x14ac:dyDescent="0.2">
      <c r="A693">
        <v>82</v>
      </c>
      <c r="B693">
        <f t="shared" si="38"/>
        <v>820</v>
      </c>
      <c r="C693">
        <v>1E-3</v>
      </c>
      <c r="D693" s="2">
        <f t="shared" si="39"/>
        <v>206.97211111111113</v>
      </c>
    </row>
    <row r="694" spans="1:4" x14ac:dyDescent="0.2">
      <c r="A694">
        <v>83</v>
      </c>
      <c r="B694">
        <f t="shared" si="38"/>
        <v>830</v>
      </c>
      <c r="C694">
        <v>3.0000000000000001E-3</v>
      </c>
      <c r="D694" s="2">
        <f t="shared" si="39"/>
        <v>206.97411111111111</v>
      </c>
    </row>
    <row r="695" spans="1:4" x14ac:dyDescent="0.2">
      <c r="A695">
        <v>84</v>
      </c>
      <c r="B695">
        <f t="shared" si="38"/>
        <v>840</v>
      </c>
      <c r="C695">
        <v>1E-3</v>
      </c>
      <c r="D695" s="2">
        <f t="shared" si="39"/>
        <v>206.97211111111113</v>
      </c>
    </row>
    <row r="696" spans="1:4" x14ac:dyDescent="0.2">
      <c r="A696">
        <v>85</v>
      </c>
      <c r="B696">
        <f t="shared" ref="B696:B703" si="40">A696*10</f>
        <v>850</v>
      </c>
      <c r="C696">
        <v>2E-3</v>
      </c>
      <c r="D696" s="2">
        <f t="shared" ref="D696:D703" si="41">C696+((-0.7286*$C$12)+227.21)</f>
        <v>206.97311111111114</v>
      </c>
    </row>
    <row r="697" spans="1:4" x14ac:dyDescent="0.2">
      <c r="A697">
        <v>86</v>
      </c>
      <c r="B697">
        <f t="shared" si="40"/>
        <v>860</v>
      </c>
      <c r="C697">
        <v>0</v>
      </c>
      <c r="D697" s="2">
        <f t="shared" si="41"/>
        <v>206.97111111111113</v>
      </c>
    </row>
    <row r="698" spans="1:4" x14ac:dyDescent="0.2">
      <c r="A698">
        <v>87</v>
      </c>
      <c r="B698">
        <f t="shared" si="40"/>
        <v>870</v>
      </c>
      <c r="C698">
        <v>1E-3</v>
      </c>
      <c r="D698" s="2">
        <f t="shared" si="41"/>
        <v>206.97211111111113</v>
      </c>
    </row>
    <row r="699" spans="1:4" x14ac:dyDescent="0.2">
      <c r="A699">
        <v>88</v>
      </c>
      <c r="B699">
        <f t="shared" si="40"/>
        <v>880</v>
      </c>
      <c r="C699">
        <v>1E-3</v>
      </c>
      <c r="D699" s="2">
        <f t="shared" si="41"/>
        <v>206.97211111111113</v>
      </c>
    </row>
    <row r="700" spans="1:4" x14ac:dyDescent="0.2">
      <c r="A700">
        <v>89</v>
      </c>
      <c r="B700">
        <f t="shared" si="40"/>
        <v>890</v>
      </c>
      <c r="C700">
        <v>1E-3</v>
      </c>
      <c r="D700" s="2">
        <f t="shared" si="41"/>
        <v>206.97211111111113</v>
      </c>
    </row>
    <row r="701" spans="1:4" x14ac:dyDescent="0.2">
      <c r="A701">
        <v>90</v>
      </c>
      <c r="B701">
        <f t="shared" si="40"/>
        <v>900</v>
      </c>
      <c r="C701">
        <v>0</v>
      </c>
      <c r="D701" s="2">
        <f t="shared" si="41"/>
        <v>206.97111111111113</v>
      </c>
    </row>
    <row r="702" spans="1:4" x14ac:dyDescent="0.2">
      <c r="A702">
        <v>91</v>
      </c>
      <c r="B702">
        <f t="shared" si="40"/>
        <v>910</v>
      </c>
      <c r="C702">
        <v>0</v>
      </c>
      <c r="D702" s="2">
        <f t="shared" si="41"/>
        <v>206.97111111111113</v>
      </c>
    </row>
    <row r="703" spans="1:4" x14ac:dyDescent="0.2">
      <c r="A703">
        <v>92</v>
      </c>
      <c r="B703">
        <f t="shared" si="40"/>
        <v>920</v>
      </c>
      <c r="C703">
        <v>1E-3</v>
      </c>
      <c r="D703" s="2">
        <f t="shared" si="41"/>
        <v>206.97211111111113</v>
      </c>
    </row>
    <row r="705" spans="1:10" x14ac:dyDescent="0.2">
      <c r="A705" t="s">
        <v>28</v>
      </c>
    </row>
    <row r="706" spans="1:10" x14ac:dyDescent="0.2">
      <c r="A706" t="s">
        <v>9</v>
      </c>
      <c r="B706" t="s">
        <v>10</v>
      </c>
      <c r="C706" t="s">
        <v>11</v>
      </c>
      <c r="D706" t="s">
        <v>12</v>
      </c>
      <c r="E706" t="s">
        <v>14</v>
      </c>
      <c r="F706" t="s">
        <v>13</v>
      </c>
      <c r="G706" t="s">
        <v>18</v>
      </c>
      <c r="H706" t="s">
        <v>5</v>
      </c>
      <c r="I706" t="s">
        <v>23</v>
      </c>
      <c r="J706" t="s">
        <v>24</v>
      </c>
    </row>
    <row r="707" spans="1:10" x14ac:dyDescent="0.2">
      <c r="A707">
        <v>20</v>
      </c>
      <c r="B707">
        <f>A707*10</f>
        <v>200</v>
      </c>
      <c r="C707">
        <v>2.2863402008310301</v>
      </c>
      <c r="D707" s="2">
        <f>C707+((-0.7286*$C$13)+227.21)</f>
        <v>205.41206242305327</v>
      </c>
      <c r="E707" s="2">
        <f>AVERAGE(C707:C779)</f>
        <v>1.6904399505045826</v>
      </c>
      <c r="F707" s="2">
        <f>AVERAGE(D707:D779)</f>
        <v>204.81616217272685</v>
      </c>
      <c r="G707">
        <f>_xlfn.STDEV.S(D707:D779)</f>
        <v>0.32352789878905419</v>
      </c>
      <c r="H707">
        <f>(G707/F707)*100</f>
        <v>0.15796014111240628</v>
      </c>
      <c r="I707" s="2">
        <f>MAX(D707:D779)</f>
        <v>205.41206242305327</v>
      </c>
      <c r="J707" s="2">
        <f>MIN(D707:D779)</f>
        <v>204.3216175791176</v>
      </c>
    </row>
    <row r="708" spans="1:10" x14ac:dyDescent="0.2">
      <c r="A708">
        <v>21</v>
      </c>
      <c r="B708">
        <f t="shared" ref="B708:B771" si="42">A708*10</f>
        <v>210</v>
      </c>
      <c r="C708">
        <v>2.24973787248787</v>
      </c>
      <c r="D708" s="2">
        <f t="shared" ref="D708:D771" si="43">C708+((-0.7286*$C$13)+227.21)</f>
        <v>205.37546009471009</v>
      </c>
    </row>
    <row r="709" spans="1:10" x14ac:dyDescent="0.2">
      <c r="A709">
        <v>22</v>
      </c>
      <c r="B709">
        <f t="shared" si="42"/>
        <v>220</v>
      </c>
      <c r="C709">
        <v>2.2138144490644498</v>
      </c>
      <c r="D709" s="2">
        <f t="shared" si="43"/>
        <v>205.33953667128668</v>
      </c>
    </row>
    <row r="710" spans="1:10" x14ac:dyDescent="0.2">
      <c r="A710">
        <v>23</v>
      </c>
      <c r="B710">
        <f t="shared" si="42"/>
        <v>230</v>
      </c>
      <c r="C710">
        <v>2.1734270616770601</v>
      </c>
      <c r="D710" s="2">
        <f t="shared" si="43"/>
        <v>205.29914928389928</v>
      </c>
    </row>
    <row r="711" spans="1:10" x14ac:dyDescent="0.2">
      <c r="A711">
        <v>24</v>
      </c>
      <c r="B711">
        <f t="shared" si="42"/>
        <v>240</v>
      </c>
      <c r="C711">
        <v>2.1438485110803298</v>
      </c>
      <c r="D711" s="2">
        <f t="shared" si="43"/>
        <v>205.26957073330257</v>
      </c>
    </row>
    <row r="712" spans="1:10" x14ac:dyDescent="0.2">
      <c r="A712">
        <v>25</v>
      </c>
      <c r="B712">
        <f t="shared" si="42"/>
        <v>250</v>
      </c>
      <c r="C712">
        <v>2.1387054747054699</v>
      </c>
      <c r="D712" s="2">
        <f t="shared" si="43"/>
        <v>205.2644276969277</v>
      </c>
    </row>
    <row r="713" spans="1:10" x14ac:dyDescent="0.2">
      <c r="A713">
        <v>26</v>
      </c>
      <c r="B713">
        <f t="shared" si="42"/>
        <v>260</v>
      </c>
      <c r="C713">
        <v>2.1219946292446297</v>
      </c>
      <c r="D713" s="2">
        <f t="shared" si="43"/>
        <v>205.24771685146686</v>
      </c>
    </row>
    <row r="714" spans="1:10" x14ac:dyDescent="0.2">
      <c r="A714">
        <v>27</v>
      </c>
      <c r="B714">
        <f t="shared" si="42"/>
        <v>270</v>
      </c>
      <c r="C714">
        <v>2.0801168628808897</v>
      </c>
      <c r="D714" s="2">
        <f t="shared" si="43"/>
        <v>205.20583908510312</v>
      </c>
    </row>
    <row r="715" spans="1:10" x14ac:dyDescent="0.2">
      <c r="A715">
        <v>28</v>
      </c>
      <c r="B715">
        <f t="shared" si="42"/>
        <v>280</v>
      </c>
      <c r="C715">
        <v>2.0574081774081798</v>
      </c>
      <c r="D715" s="2">
        <f t="shared" si="43"/>
        <v>205.18313039963041</v>
      </c>
    </row>
    <row r="716" spans="1:10" x14ac:dyDescent="0.2">
      <c r="A716">
        <v>29</v>
      </c>
      <c r="B716">
        <f t="shared" si="42"/>
        <v>290</v>
      </c>
      <c r="C716">
        <v>2.0299461191961199</v>
      </c>
      <c r="D716" s="2">
        <f t="shared" si="43"/>
        <v>205.15566834141836</v>
      </c>
    </row>
    <row r="717" spans="1:10" x14ac:dyDescent="0.2">
      <c r="A717">
        <v>30</v>
      </c>
      <c r="B717">
        <f t="shared" si="42"/>
        <v>300</v>
      </c>
      <c r="C717">
        <v>1.99481860706861</v>
      </c>
      <c r="D717" s="2">
        <f t="shared" si="43"/>
        <v>205.12054082929086</v>
      </c>
    </row>
    <row r="718" spans="1:10" x14ac:dyDescent="0.2">
      <c r="A718">
        <v>31</v>
      </c>
      <c r="B718">
        <f t="shared" si="42"/>
        <v>310</v>
      </c>
      <c r="C718">
        <v>1.95252493074792</v>
      </c>
      <c r="D718" s="2">
        <f t="shared" si="43"/>
        <v>205.07824715297016</v>
      </c>
    </row>
    <row r="719" spans="1:10" x14ac:dyDescent="0.2">
      <c r="A719">
        <v>32</v>
      </c>
      <c r="B719">
        <f t="shared" si="42"/>
        <v>320</v>
      </c>
      <c r="C719">
        <v>1.9335348232848202</v>
      </c>
      <c r="D719" s="2">
        <f t="shared" si="43"/>
        <v>205.05925704550705</v>
      </c>
    </row>
    <row r="720" spans="1:10" x14ac:dyDescent="0.2">
      <c r="A720">
        <v>33</v>
      </c>
      <c r="B720">
        <f t="shared" si="42"/>
        <v>330</v>
      </c>
      <c r="C720">
        <v>1.9186954261954301</v>
      </c>
      <c r="D720" s="2">
        <f t="shared" si="43"/>
        <v>205.04441764841766</v>
      </c>
    </row>
    <row r="721" spans="1:4" x14ac:dyDescent="0.2">
      <c r="A721">
        <v>34</v>
      </c>
      <c r="B721">
        <f t="shared" si="42"/>
        <v>340</v>
      </c>
      <c r="C721">
        <v>1.7971315789473701</v>
      </c>
      <c r="D721" s="2">
        <f t="shared" si="43"/>
        <v>204.92285380116959</v>
      </c>
    </row>
    <row r="722" spans="1:4" x14ac:dyDescent="0.2">
      <c r="A722">
        <v>35</v>
      </c>
      <c r="B722">
        <f t="shared" si="42"/>
        <v>350</v>
      </c>
      <c r="C722">
        <v>1.71111694386694</v>
      </c>
      <c r="D722" s="2">
        <f t="shared" si="43"/>
        <v>204.83683916608916</v>
      </c>
    </row>
    <row r="723" spans="1:4" x14ac:dyDescent="0.2">
      <c r="A723">
        <v>36</v>
      </c>
      <c r="B723">
        <f t="shared" si="42"/>
        <v>360</v>
      </c>
      <c r="C723">
        <v>1.7170046777546799</v>
      </c>
      <c r="D723" s="2">
        <f t="shared" si="43"/>
        <v>204.84272689997692</v>
      </c>
    </row>
    <row r="724" spans="1:4" x14ac:dyDescent="0.2">
      <c r="A724">
        <v>37</v>
      </c>
      <c r="B724">
        <f t="shared" si="42"/>
        <v>370</v>
      </c>
      <c r="C724">
        <v>1.82261475835787</v>
      </c>
      <c r="D724" s="2">
        <f t="shared" si="43"/>
        <v>204.94833698058011</v>
      </c>
    </row>
    <row r="725" spans="1:4" x14ac:dyDescent="0.2">
      <c r="A725">
        <v>38</v>
      </c>
      <c r="B725">
        <f t="shared" si="42"/>
        <v>380</v>
      </c>
      <c r="C725">
        <v>1.93485281385281</v>
      </c>
      <c r="D725" s="2">
        <f t="shared" si="43"/>
        <v>205.06057503607505</v>
      </c>
    </row>
    <row r="726" spans="1:4" x14ac:dyDescent="0.2">
      <c r="A726">
        <v>39</v>
      </c>
      <c r="B726">
        <f t="shared" si="42"/>
        <v>390</v>
      </c>
      <c r="C726">
        <v>2.0342456687456698</v>
      </c>
      <c r="D726" s="2">
        <f t="shared" si="43"/>
        <v>205.15996789096792</v>
      </c>
    </row>
    <row r="727" spans="1:4" x14ac:dyDescent="0.2">
      <c r="A727">
        <v>40</v>
      </c>
      <c r="B727">
        <f t="shared" si="42"/>
        <v>400</v>
      </c>
      <c r="C727">
        <v>2.0813762993762999</v>
      </c>
      <c r="D727" s="2">
        <f t="shared" si="43"/>
        <v>205.20709852159854</v>
      </c>
    </row>
    <row r="728" spans="1:4" x14ac:dyDescent="0.2">
      <c r="A728">
        <v>41</v>
      </c>
      <c r="B728">
        <f t="shared" si="42"/>
        <v>410</v>
      </c>
      <c r="C728">
        <v>2.08174168975069</v>
      </c>
      <c r="D728" s="2">
        <f t="shared" si="43"/>
        <v>205.20746391197292</v>
      </c>
    </row>
    <row r="729" spans="1:4" x14ac:dyDescent="0.2">
      <c r="A729">
        <v>42</v>
      </c>
      <c r="B729">
        <f t="shared" si="42"/>
        <v>420</v>
      </c>
      <c r="C729">
        <v>2.04479833679834</v>
      </c>
      <c r="D729" s="2">
        <f t="shared" si="43"/>
        <v>205.17052055902059</v>
      </c>
    </row>
    <row r="730" spans="1:4" x14ac:dyDescent="0.2">
      <c r="A730">
        <v>43</v>
      </c>
      <c r="B730">
        <f t="shared" si="42"/>
        <v>430</v>
      </c>
      <c r="C730">
        <v>2.0109575537075504</v>
      </c>
      <c r="D730" s="2">
        <f t="shared" si="43"/>
        <v>205.13667977592979</v>
      </c>
    </row>
    <row r="731" spans="1:4" x14ac:dyDescent="0.2">
      <c r="A731">
        <v>44</v>
      </c>
      <c r="B731">
        <f t="shared" si="42"/>
        <v>440</v>
      </c>
      <c r="C731">
        <v>1.9915570562770599</v>
      </c>
      <c r="D731" s="2">
        <f t="shared" si="43"/>
        <v>205.1172792784993</v>
      </c>
    </row>
    <row r="732" spans="1:4" x14ac:dyDescent="0.2">
      <c r="A732">
        <v>45</v>
      </c>
      <c r="B732">
        <f t="shared" si="42"/>
        <v>450</v>
      </c>
      <c r="C732">
        <v>1.9977736012471901</v>
      </c>
      <c r="D732" s="2">
        <f t="shared" si="43"/>
        <v>205.12349582346943</v>
      </c>
    </row>
    <row r="733" spans="1:4" x14ac:dyDescent="0.2">
      <c r="A733">
        <v>46</v>
      </c>
      <c r="B733">
        <f t="shared" si="42"/>
        <v>460</v>
      </c>
      <c r="C733">
        <v>1.9834587664587702</v>
      </c>
      <c r="D733" s="2">
        <f t="shared" si="43"/>
        <v>205.109180988681</v>
      </c>
    </row>
    <row r="734" spans="1:4" x14ac:dyDescent="0.2">
      <c r="A734">
        <v>47</v>
      </c>
      <c r="B734">
        <f t="shared" si="42"/>
        <v>470</v>
      </c>
      <c r="C734">
        <v>1.9579492376992402</v>
      </c>
      <c r="D734" s="2">
        <f t="shared" si="43"/>
        <v>205.08367145992148</v>
      </c>
    </row>
    <row r="735" spans="1:4" x14ac:dyDescent="0.2">
      <c r="A735">
        <v>48</v>
      </c>
      <c r="B735">
        <f t="shared" si="42"/>
        <v>480</v>
      </c>
      <c r="C735">
        <v>1.92732548476454</v>
      </c>
      <c r="D735" s="2">
        <f t="shared" si="43"/>
        <v>205.05304770698677</v>
      </c>
    </row>
    <row r="736" spans="1:4" x14ac:dyDescent="0.2">
      <c r="A736">
        <v>49</v>
      </c>
      <c r="B736">
        <f t="shared" si="42"/>
        <v>490</v>
      </c>
      <c r="C736">
        <v>1.9022430699930699</v>
      </c>
      <c r="D736" s="2">
        <f t="shared" si="43"/>
        <v>205.0279652922153</v>
      </c>
    </row>
    <row r="737" spans="1:4" x14ac:dyDescent="0.2">
      <c r="A737">
        <v>50</v>
      </c>
      <c r="B737">
        <f t="shared" si="42"/>
        <v>500</v>
      </c>
      <c r="C737">
        <v>1.88876507276507</v>
      </c>
      <c r="D737" s="2">
        <f t="shared" si="43"/>
        <v>205.0144872949873</v>
      </c>
    </row>
    <row r="738" spans="1:4" x14ac:dyDescent="0.2">
      <c r="A738">
        <v>51</v>
      </c>
      <c r="B738">
        <f t="shared" si="42"/>
        <v>510</v>
      </c>
      <c r="C738">
        <v>1.8584941135734101</v>
      </c>
      <c r="D738" s="2">
        <f t="shared" si="43"/>
        <v>204.98421633579565</v>
      </c>
    </row>
    <row r="739" spans="1:4" x14ac:dyDescent="0.2">
      <c r="A739">
        <v>52</v>
      </c>
      <c r="B739">
        <f t="shared" si="42"/>
        <v>520</v>
      </c>
      <c r="C739">
        <v>1.8296039501039498</v>
      </c>
      <c r="D739" s="2">
        <f t="shared" si="43"/>
        <v>204.95532617232618</v>
      </c>
    </row>
    <row r="740" spans="1:4" x14ac:dyDescent="0.2">
      <c r="A740">
        <v>53</v>
      </c>
      <c r="B740">
        <f t="shared" si="42"/>
        <v>530</v>
      </c>
      <c r="C740">
        <v>1.7995370755370801</v>
      </c>
      <c r="D740" s="2">
        <f t="shared" si="43"/>
        <v>204.92525929775931</v>
      </c>
    </row>
    <row r="741" spans="1:4" x14ac:dyDescent="0.2">
      <c r="A741">
        <v>54</v>
      </c>
      <c r="B741">
        <f t="shared" si="42"/>
        <v>540</v>
      </c>
      <c r="C741">
        <v>1.7710128205128199</v>
      </c>
      <c r="D741" s="2">
        <f t="shared" si="43"/>
        <v>204.89673504273506</v>
      </c>
    </row>
    <row r="742" spans="1:4" x14ac:dyDescent="0.2">
      <c r="A742">
        <v>55</v>
      </c>
      <c r="B742">
        <f t="shared" si="42"/>
        <v>550</v>
      </c>
      <c r="C742">
        <v>1.74301350415512</v>
      </c>
      <c r="D742" s="2">
        <f t="shared" si="43"/>
        <v>204.86873572637737</v>
      </c>
    </row>
    <row r="743" spans="1:4" x14ac:dyDescent="0.2">
      <c r="A743">
        <v>56</v>
      </c>
      <c r="B743">
        <f t="shared" si="42"/>
        <v>560</v>
      </c>
      <c r="C743">
        <v>1.7161065488565501</v>
      </c>
      <c r="D743" s="2">
        <f t="shared" si="43"/>
        <v>204.84182877107878</v>
      </c>
    </row>
    <row r="744" spans="1:4" x14ac:dyDescent="0.2">
      <c r="A744">
        <v>57</v>
      </c>
      <c r="B744">
        <f t="shared" si="42"/>
        <v>570</v>
      </c>
      <c r="C744">
        <v>1.6864504504504501</v>
      </c>
      <c r="D744" s="2">
        <f t="shared" si="43"/>
        <v>204.81217267267269</v>
      </c>
    </row>
    <row r="745" spans="1:4" x14ac:dyDescent="0.2">
      <c r="A745">
        <v>58</v>
      </c>
      <c r="B745">
        <f t="shared" si="42"/>
        <v>580</v>
      </c>
      <c r="C745">
        <v>1.6649695290858699</v>
      </c>
      <c r="D745" s="2">
        <f t="shared" si="43"/>
        <v>204.79069175130812</v>
      </c>
    </row>
    <row r="746" spans="1:4" x14ac:dyDescent="0.2">
      <c r="A746">
        <v>59</v>
      </c>
      <c r="B746">
        <f t="shared" si="42"/>
        <v>590</v>
      </c>
      <c r="C746">
        <v>1.64662785862786</v>
      </c>
      <c r="D746" s="2">
        <f t="shared" si="43"/>
        <v>204.77235008085009</v>
      </c>
    </row>
    <row r="747" spans="1:4" x14ac:dyDescent="0.2">
      <c r="A747">
        <v>60</v>
      </c>
      <c r="B747">
        <f t="shared" si="42"/>
        <v>600</v>
      </c>
      <c r="C747">
        <v>1.62866753291753</v>
      </c>
      <c r="D747" s="2">
        <f t="shared" si="43"/>
        <v>204.75438975513975</v>
      </c>
    </row>
    <row r="748" spans="1:4" x14ac:dyDescent="0.2">
      <c r="A748">
        <v>61</v>
      </c>
      <c r="B748">
        <f t="shared" si="42"/>
        <v>610</v>
      </c>
      <c r="C748">
        <v>1.61266718641719</v>
      </c>
      <c r="D748" s="2">
        <f t="shared" si="43"/>
        <v>204.73838940863942</v>
      </c>
    </row>
    <row r="749" spans="1:4" x14ac:dyDescent="0.2">
      <c r="A749">
        <v>62</v>
      </c>
      <c r="B749">
        <f t="shared" si="42"/>
        <v>620</v>
      </c>
      <c r="C749">
        <v>1.5965765235457099</v>
      </c>
      <c r="D749" s="2">
        <f t="shared" si="43"/>
        <v>204.72229874576794</v>
      </c>
    </row>
    <row r="750" spans="1:4" x14ac:dyDescent="0.2">
      <c r="A750">
        <v>63</v>
      </c>
      <c r="B750">
        <f t="shared" si="42"/>
        <v>630</v>
      </c>
      <c r="C750">
        <v>1.57283783783784</v>
      </c>
      <c r="D750" s="2">
        <f t="shared" si="43"/>
        <v>204.69856006006009</v>
      </c>
    </row>
    <row r="751" spans="1:4" x14ac:dyDescent="0.2">
      <c r="A751">
        <v>64</v>
      </c>
      <c r="B751">
        <f t="shared" si="42"/>
        <v>640</v>
      </c>
      <c r="C751">
        <v>1.5513066528066499</v>
      </c>
      <c r="D751" s="2">
        <f t="shared" si="43"/>
        <v>204.6770288750289</v>
      </c>
    </row>
    <row r="752" spans="1:4" x14ac:dyDescent="0.2">
      <c r="A752">
        <v>65</v>
      </c>
      <c r="B752">
        <f t="shared" si="42"/>
        <v>650</v>
      </c>
      <c r="C752">
        <v>1.53509035831747</v>
      </c>
      <c r="D752" s="2">
        <f t="shared" si="43"/>
        <v>204.6608125805397</v>
      </c>
    </row>
    <row r="753" spans="1:4" x14ac:dyDescent="0.2">
      <c r="A753">
        <v>66</v>
      </c>
      <c r="B753">
        <f t="shared" si="42"/>
        <v>660</v>
      </c>
      <c r="C753">
        <v>1.52259753984754</v>
      </c>
      <c r="D753" s="2">
        <f t="shared" si="43"/>
        <v>204.64831976206978</v>
      </c>
    </row>
    <row r="754" spans="1:4" x14ac:dyDescent="0.2">
      <c r="A754">
        <v>67</v>
      </c>
      <c r="B754">
        <f t="shared" si="42"/>
        <v>670</v>
      </c>
      <c r="C754">
        <v>1.5112907137907099</v>
      </c>
      <c r="D754" s="2">
        <f t="shared" si="43"/>
        <v>204.63701293601295</v>
      </c>
    </row>
    <row r="755" spans="1:4" x14ac:dyDescent="0.2">
      <c r="A755">
        <v>68</v>
      </c>
      <c r="B755">
        <f t="shared" si="42"/>
        <v>680</v>
      </c>
      <c r="C755">
        <v>1.49923925848926</v>
      </c>
      <c r="D755" s="2">
        <f t="shared" si="43"/>
        <v>204.62496148071151</v>
      </c>
    </row>
    <row r="756" spans="1:4" x14ac:dyDescent="0.2">
      <c r="A756">
        <v>69</v>
      </c>
      <c r="B756">
        <f t="shared" si="42"/>
        <v>690</v>
      </c>
      <c r="C756">
        <v>1.4817593490304699</v>
      </c>
      <c r="D756" s="2">
        <f t="shared" si="43"/>
        <v>204.60748157125272</v>
      </c>
    </row>
    <row r="757" spans="1:4" x14ac:dyDescent="0.2">
      <c r="A757">
        <v>70</v>
      </c>
      <c r="B757">
        <f t="shared" si="42"/>
        <v>700</v>
      </c>
      <c r="C757">
        <v>1.4593532571032599</v>
      </c>
      <c r="D757" s="2">
        <f t="shared" si="43"/>
        <v>204.5850754793255</v>
      </c>
    </row>
    <row r="758" spans="1:4" x14ac:dyDescent="0.2">
      <c r="A758">
        <v>71</v>
      </c>
      <c r="B758">
        <f t="shared" si="42"/>
        <v>710</v>
      </c>
      <c r="C758">
        <v>1.43996725571726</v>
      </c>
      <c r="D758" s="2">
        <f t="shared" si="43"/>
        <v>204.56568947793949</v>
      </c>
    </row>
    <row r="759" spans="1:4" x14ac:dyDescent="0.2">
      <c r="A759">
        <v>72</v>
      </c>
      <c r="B759">
        <f t="shared" si="42"/>
        <v>720</v>
      </c>
      <c r="C759">
        <v>1.42172108725762</v>
      </c>
      <c r="D759" s="2">
        <f t="shared" si="43"/>
        <v>204.54744330947986</v>
      </c>
    </row>
    <row r="760" spans="1:4" x14ac:dyDescent="0.2">
      <c r="A760">
        <v>73</v>
      </c>
      <c r="B760">
        <f t="shared" si="42"/>
        <v>730</v>
      </c>
      <c r="C760">
        <v>1.4081406791406801</v>
      </c>
      <c r="D760" s="2">
        <f t="shared" si="43"/>
        <v>204.53386290136291</v>
      </c>
    </row>
    <row r="761" spans="1:4" x14ac:dyDescent="0.2">
      <c r="A761">
        <v>74</v>
      </c>
      <c r="B761">
        <f t="shared" si="42"/>
        <v>740</v>
      </c>
      <c r="C761">
        <v>1.3895278932778901</v>
      </c>
      <c r="D761" s="2">
        <f t="shared" si="43"/>
        <v>204.51525011550012</v>
      </c>
    </row>
    <row r="762" spans="1:4" x14ac:dyDescent="0.2">
      <c r="A762">
        <v>75</v>
      </c>
      <c r="B762">
        <f t="shared" si="42"/>
        <v>750</v>
      </c>
      <c r="C762">
        <v>1.37142013167013</v>
      </c>
      <c r="D762" s="2">
        <f t="shared" si="43"/>
        <v>204.49714235389237</v>
      </c>
    </row>
    <row r="763" spans="1:4" x14ac:dyDescent="0.2">
      <c r="A763">
        <v>76</v>
      </c>
      <c r="B763">
        <f t="shared" si="42"/>
        <v>760</v>
      </c>
      <c r="C763">
        <v>1.3650715027700799</v>
      </c>
      <c r="D763" s="2">
        <f t="shared" si="43"/>
        <v>204.49079372499233</v>
      </c>
    </row>
    <row r="764" spans="1:4" x14ac:dyDescent="0.2">
      <c r="A764">
        <v>77</v>
      </c>
      <c r="B764">
        <f t="shared" si="42"/>
        <v>770</v>
      </c>
      <c r="C764">
        <v>1.3494561677061701</v>
      </c>
      <c r="D764" s="2">
        <f t="shared" si="43"/>
        <v>204.4751783899284</v>
      </c>
    </row>
    <row r="765" spans="1:4" x14ac:dyDescent="0.2">
      <c r="A765">
        <v>78</v>
      </c>
      <c r="B765">
        <f t="shared" si="42"/>
        <v>780</v>
      </c>
      <c r="C765">
        <v>1.3339674289674301</v>
      </c>
      <c r="D765" s="2">
        <f t="shared" si="43"/>
        <v>204.45968965118968</v>
      </c>
    </row>
    <row r="766" spans="1:4" x14ac:dyDescent="0.2">
      <c r="A766">
        <v>79</v>
      </c>
      <c r="B766">
        <f t="shared" si="42"/>
        <v>790</v>
      </c>
      <c r="C766">
        <v>1.31426921745152</v>
      </c>
      <c r="D766" s="2">
        <f t="shared" si="43"/>
        <v>204.43999143967375</v>
      </c>
    </row>
    <row r="767" spans="1:4" x14ac:dyDescent="0.2">
      <c r="A767">
        <v>80</v>
      </c>
      <c r="B767">
        <f t="shared" si="42"/>
        <v>800</v>
      </c>
      <c r="C767">
        <v>1.2990466042966</v>
      </c>
      <c r="D767" s="2">
        <f t="shared" si="43"/>
        <v>204.42476882651883</v>
      </c>
    </row>
    <row r="768" spans="1:4" x14ac:dyDescent="0.2">
      <c r="A768">
        <v>81</v>
      </c>
      <c r="B768">
        <f t="shared" si="42"/>
        <v>810</v>
      </c>
      <c r="C768">
        <v>1.2874287941787901</v>
      </c>
      <c r="D768" s="2">
        <f t="shared" si="43"/>
        <v>204.41315101640103</v>
      </c>
    </row>
    <row r="769" spans="1:10" x14ac:dyDescent="0.2">
      <c r="A769">
        <v>82</v>
      </c>
      <c r="B769">
        <f t="shared" si="42"/>
        <v>820</v>
      </c>
      <c r="C769">
        <v>1.27278534303534</v>
      </c>
      <c r="D769" s="2">
        <f t="shared" si="43"/>
        <v>204.39850756525757</v>
      </c>
    </row>
    <row r="770" spans="1:10" x14ac:dyDescent="0.2">
      <c r="A770">
        <v>83</v>
      </c>
      <c r="B770">
        <f t="shared" si="42"/>
        <v>830</v>
      </c>
      <c r="C770">
        <v>1.2566559903047099</v>
      </c>
      <c r="D770" s="2">
        <f t="shared" si="43"/>
        <v>204.38237821252696</v>
      </c>
    </row>
    <row r="771" spans="1:10" x14ac:dyDescent="0.2">
      <c r="A771">
        <v>84</v>
      </c>
      <c r="B771">
        <f t="shared" si="42"/>
        <v>840</v>
      </c>
      <c r="C771">
        <v>1.24517879417879</v>
      </c>
      <c r="D771" s="2">
        <f t="shared" si="43"/>
        <v>204.37090101640104</v>
      </c>
    </row>
    <row r="772" spans="1:10" x14ac:dyDescent="0.2">
      <c r="A772">
        <v>85</v>
      </c>
      <c r="B772">
        <f t="shared" ref="B772:B779" si="44">A772*10</f>
        <v>850</v>
      </c>
      <c r="C772">
        <v>1.2399187456687502</v>
      </c>
      <c r="D772" s="2">
        <f t="shared" ref="D772:D779" si="45">C772+((-0.7286*$C$13)+227.21)</f>
        <v>204.36564096789098</v>
      </c>
    </row>
    <row r="773" spans="1:10" x14ac:dyDescent="0.2">
      <c r="A773">
        <v>86</v>
      </c>
      <c r="B773">
        <f t="shared" si="44"/>
        <v>860</v>
      </c>
      <c r="C773">
        <v>1.2376362534626</v>
      </c>
      <c r="D773" s="2">
        <f t="shared" si="45"/>
        <v>204.36335847568483</v>
      </c>
    </row>
    <row r="774" spans="1:10" x14ac:dyDescent="0.2">
      <c r="A774">
        <v>87</v>
      </c>
      <c r="B774">
        <f t="shared" si="44"/>
        <v>870</v>
      </c>
      <c r="C774">
        <v>1.2355994455994499</v>
      </c>
      <c r="D774" s="2">
        <f t="shared" si="45"/>
        <v>204.3613216678217</v>
      </c>
    </row>
    <row r="775" spans="1:10" x14ac:dyDescent="0.2">
      <c r="A775">
        <v>88</v>
      </c>
      <c r="B775">
        <f t="shared" si="44"/>
        <v>880</v>
      </c>
      <c r="C775">
        <v>1.2289086971587</v>
      </c>
      <c r="D775" s="2">
        <f t="shared" si="45"/>
        <v>204.35463091938092</v>
      </c>
    </row>
    <row r="776" spans="1:10" x14ac:dyDescent="0.2">
      <c r="A776">
        <v>89</v>
      </c>
      <c r="B776">
        <f t="shared" si="44"/>
        <v>890</v>
      </c>
      <c r="C776">
        <v>1.22252754677755</v>
      </c>
      <c r="D776" s="2">
        <f t="shared" si="45"/>
        <v>204.34824976899978</v>
      </c>
    </row>
    <row r="777" spans="1:10" x14ac:dyDescent="0.2">
      <c r="A777">
        <v>90</v>
      </c>
      <c r="B777">
        <f t="shared" si="44"/>
        <v>900</v>
      </c>
      <c r="C777">
        <v>1.21484002770083</v>
      </c>
      <c r="D777" s="2">
        <f t="shared" si="45"/>
        <v>204.34056224992307</v>
      </c>
    </row>
    <row r="778" spans="1:10" x14ac:dyDescent="0.2">
      <c r="A778">
        <v>91</v>
      </c>
      <c r="B778">
        <f t="shared" si="44"/>
        <v>910</v>
      </c>
      <c r="C778">
        <v>1.2051256063756099</v>
      </c>
      <c r="D778" s="2">
        <f t="shared" si="45"/>
        <v>204.33084782859785</v>
      </c>
    </row>
    <row r="779" spans="1:10" x14ac:dyDescent="0.2">
      <c r="A779">
        <v>92</v>
      </c>
      <c r="B779">
        <f t="shared" si="44"/>
        <v>920</v>
      </c>
      <c r="C779">
        <v>1.1958953568953601</v>
      </c>
      <c r="D779" s="2">
        <f t="shared" si="45"/>
        <v>204.3216175791176</v>
      </c>
    </row>
    <row r="781" spans="1:10" x14ac:dyDescent="0.2">
      <c r="A781" t="s">
        <v>29</v>
      </c>
    </row>
    <row r="782" spans="1:10" x14ac:dyDescent="0.2">
      <c r="A782" t="s">
        <v>9</v>
      </c>
      <c r="B782" t="s">
        <v>10</v>
      </c>
      <c r="C782" t="s">
        <v>11</v>
      </c>
      <c r="D782" t="s">
        <v>12</v>
      </c>
      <c r="E782" t="s">
        <v>14</v>
      </c>
      <c r="F782" t="s">
        <v>13</v>
      </c>
      <c r="G782" t="s">
        <v>18</v>
      </c>
      <c r="H782" t="s">
        <v>5</v>
      </c>
      <c r="I782" t="s">
        <v>23</v>
      </c>
      <c r="J782" t="s">
        <v>24</v>
      </c>
    </row>
    <row r="783" spans="1:10" x14ac:dyDescent="0.2">
      <c r="A783">
        <v>20</v>
      </c>
      <c r="B783">
        <f>A783*10</f>
        <v>200</v>
      </c>
      <c r="C783">
        <v>0</v>
      </c>
      <c r="D783" s="2">
        <f>C783+((-0.7286*$C$14)+227.21)</f>
        <v>204.34005555555558</v>
      </c>
      <c r="E783" s="2">
        <f>AVERAGE(C783:C855)</f>
        <v>1.6621506849315069</v>
      </c>
      <c r="F783" s="2">
        <f>AVERAGE(D783:D855)</f>
        <v>206.00220624048725</v>
      </c>
      <c r="G783">
        <f>_xlfn.STDEV.S(D783:D855)</f>
        <v>4.2674847024110143</v>
      </c>
      <c r="H783">
        <f>(G783/F783)*100</f>
        <v>2.0715723293900781</v>
      </c>
      <c r="I783" s="2">
        <f>MAX(D783:D855)</f>
        <v>219.70205555555557</v>
      </c>
      <c r="J783" s="2">
        <f>MIN(D783:D855)</f>
        <v>204.33805555555557</v>
      </c>
    </row>
    <row r="784" spans="1:10" x14ac:dyDescent="0.2">
      <c r="A784">
        <v>21</v>
      </c>
      <c r="B784">
        <f t="shared" ref="B784:B847" si="46">A784*10</f>
        <v>210</v>
      </c>
      <c r="C784">
        <v>0</v>
      </c>
      <c r="D784" s="2">
        <f t="shared" ref="D784:D847" si="47">C784+((-0.7286*$C$14)+227.21)</f>
        <v>204.34005555555558</v>
      </c>
    </row>
    <row r="785" spans="1:4" x14ac:dyDescent="0.2">
      <c r="A785">
        <v>22</v>
      </c>
      <c r="B785">
        <f t="shared" si="46"/>
        <v>220</v>
      </c>
      <c r="C785">
        <v>0</v>
      </c>
      <c r="D785" s="2">
        <f t="shared" si="47"/>
        <v>204.34005555555558</v>
      </c>
    </row>
    <row r="786" spans="1:4" x14ac:dyDescent="0.2">
      <c r="A786">
        <v>23</v>
      </c>
      <c r="B786">
        <f t="shared" si="46"/>
        <v>230</v>
      </c>
      <c r="C786">
        <v>1E-3</v>
      </c>
      <c r="D786" s="2">
        <f t="shared" si="47"/>
        <v>204.34105555555558</v>
      </c>
    </row>
    <row r="787" spans="1:4" x14ac:dyDescent="0.2">
      <c r="A787">
        <v>24</v>
      </c>
      <c r="B787">
        <f t="shared" si="46"/>
        <v>240</v>
      </c>
      <c r="C787">
        <v>2E-3</v>
      </c>
      <c r="D787" s="2">
        <f t="shared" si="47"/>
        <v>204.34205555555559</v>
      </c>
    </row>
    <row r="788" spans="1:4" x14ac:dyDescent="0.2">
      <c r="A788">
        <v>25</v>
      </c>
      <c r="B788">
        <f t="shared" si="46"/>
        <v>250</v>
      </c>
      <c r="C788">
        <v>1E-3</v>
      </c>
      <c r="D788" s="2">
        <f t="shared" si="47"/>
        <v>204.34105555555558</v>
      </c>
    </row>
    <row r="789" spans="1:4" x14ac:dyDescent="0.2">
      <c r="A789">
        <v>26</v>
      </c>
      <c r="B789">
        <f t="shared" si="46"/>
        <v>260</v>
      </c>
      <c r="C789">
        <v>2E-3</v>
      </c>
      <c r="D789" s="2">
        <f t="shared" si="47"/>
        <v>204.34205555555559</v>
      </c>
    </row>
    <row r="790" spans="1:4" x14ac:dyDescent="0.2">
      <c r="A790">
        <v>27</v>
      </c>
      <c r="B790">
        <f t="shared" si="46"/>
        <v>270</v>
      </c>
      <c r="C790">
        <v>2E-3</v>
      </c>
      <c r="D790" s="2">
        <f t="shared" si="47"/>
        <v>204.34205555555559</v>
      </c>
    </row>
    <row r="791" spans="1:4" x14ac:dyDescent="0.2">
      <c r="A791">
        <v>28</v>
      </c>
      <c r="B791">
        <f t="shared" si="46"/>
        <v>280</v>
      </c>
      <c r="C791">
        <v>2E-3</v>
      </c>
      <c r="D791" s="2">
        <f t="shared" si="47"/>
        <v>204.34205555555559</v>
      </c>
    </row>
    <row r="792" spans="1:4" x14ac:dyDescent="0.2">
      <c r="A792">
        <v>29</v>
      </c>
      <c r="B792">
        <f t="shared" si="46"/>
        <v>290</v>
      </c>
      <c r="C792">
        <v>2E-3</v>
      </c>
      <c r="D792" s="2">
        <f t="shared" si="47"/>
        <v>204.34205555555559</v>
      </c>
    </row>
    <row r="793" spans="1:4" x14ac:dyDescent="0.2">
      <c r="A793">
        <v>30</v>
      </c>
      <c r="B793">
        <f t="shared" si="46"/>
        <v>300</v>
      </c>
      <c r="C793">
        <v>2E-3</v>
      </c>
      <c r="D793" s="2">
        <f t="shared" si="47"/>
        <v>204.34205555555559</v>
      </c>
    </row>
    <row r="794" spans="1:4" x14ac:dyDescent="0.2">
      <c r="A794">
        <v>31</v>
      </c>
      <c r="B794">
        <f t="shared" si="46"/>
        <v>310</v>
      </c>
      <c r="C794">
        <v>1E-3</v>
      </c>
      <c r="D794" s="2">
        <f t="shared" si="47"/>
        <v>204.34105555555558</v>
      </c>
    </row>
    <row r="795" spans="1:4" x14ac:dyDescent="0.2">
      <c r="A795">
        <v>32</v>
      </c>
      <c r="B795">
        <f t="shared" si="46"/>
        <v>320</v>
      </c>
      <c r="C795">
        <v>1E-3</v>
      </c>
      <c r="D795" s="2">
        <f t="shared" si="47"/>
        <v>204.34105555555558</v>
      </c>
    </row>
    <row r="796" spans="1:4" x14ac:dyDescent="0.2">
      <c r="A796">
        <v>33</v>
      </c>
      <c r="B796">
        <f t="shared" si="46"/>
        <v>330</v>
      </c>
      <c r="C796">
        <v>1E-3</v>
      </c>
      <c r="D796" s="2">
        <f t="shared" si="47"/>
        <v>204.34105555555558</v>
      </c>
    </row>
    <row r="797" spans="1:4" x14ac:dyDescent="0.2">
      <c r="A797">
        <v>34</v>
      </c>
      <c r="B797">
        <f t="shared" si="46"/>
        <v>340</v>
      </c>
      <c r="C797">
        <v>1E-3</v>
      </c>
      <c r="D797" s="2">
        <f t="shared" si="47"/>
        <v>204.34105555555558</v>
      </c>
    </row>
    <row r="798" spans="1:4" x14ac:dyDescent="0.2">
      <c r="A798">
        <v>35</v>
      </c>
      <c r="B798">
        <f t="shared" si="46"/>
        <v>350</v>
      </c>
      <c r="C798">
        <v>0</v>
      </c>
      <c r="D798" s="2">
        <f t="shared" si="47"/>
        <v>204.34005555555558</v>
      </c>
    </row>
    <row r="799" spans="1:4" x14ac:dyDescent="0.2">
      <c r="A799">
        <v>36</v>
      </c>
      <c r="B799">
        <f t="shared" si="46"/>
        <v>360</v>
      </c>
      <c r="C799">
        <v>1E-3</v>
      </c>
      <c r="D799" s="2">
        <f t="shared" si="47"/>
        <v>204.34105555555558</v>
      </c>
    </row>
    <row r="800" spans="1:4" x14ac:dyDescent="0.2">
      <c r="A800">
        <v>37</v>
      </c>
      <c r="B800">
        <f t="shared" si="46"/>
        <v>370</v>
      </c>
      <c r="C800">
        <v>0</v>
      </c>
      <c r="D800" s="2">
        <f t="shared" si="47"/>
        <v>204.34005555555558</v>
      </c>
    </row>
    <row r="801" spans="1:4" x14ac:dyDescent="0.2">
      <c r="A801">
        <v>38</v>
      </c>
      <c r="B801">
        <f t="shared" si="46"/>
        <v>380</v>
      </c>
      <c r="C801">
        <v>0</v>
      </c>
      <c r="D801" s="2">
        <f t="shared" si="47"/>
        <v>204.34005555555558</v>
      </c>
    </row>
    <row r="802" spans="1:4" x14ac:dyDescent="0.2">
      <c r="A802">
        <v>39</v>
      </c>
      <c r="B802">
        <f t="shared" si="46"/>
        <v>390</v>
      </c>
      <c r="C802">
        <v>0</v>
      </c>
      <c r="D802" s="2">
        <f t="shared" si="47"/>
        <v>204.34005555555558</v>
      </c>
    </row>
    <row r="803" spans="1:4" x14ac:dyDescent="0.2">
      <c r="A803">
        <v>40</v>
      </c>
      <c r="B803">
        <f t="shared" si="46"/>
        <v>400</v>
      </c>
      <c r="C803">
        <v>0</v>
      </c>
      <c r="D803" s="2">
        <f t="shared" si="47"/>
        <v>204.34005555555558</v>
      </c>
    </row>
    <row r="804" spans="1:4" x14ac:dyDescent="0.2">
      <c r="A804">
        <v>41</v>
      </c>
      <c r="B804">
        <f t="shared" si="46"/>
        <v>410</v>
      </c>
      <c r="C804">
        <v>0</v>
      </c>
      <c r="D804" s="2">
        <f t="shared" si="47"/>
        <v>204.34005555555558</v>
      </c>
    </row>
    <row r="805" spans="1:4" x14ac:dyDescent="0.2">
      <c r="A805">
        <v>42</v>
      </c>
      <c r="B805">
        <f t="shared" si="46"/>
        <v>420</v>
      </c>
      <c r="C805">
        <v>0</v>
      </c>
      <c r="D805" s="2">
        <f t="shared" si="47"/>
        <v>204.34005555555558</v>
      </c>
    </row>
    <row r="806" spans="1:4" x14ac:dyDescent="0.2">
      <c r="A806">
        <v>43</v>
      </c>
      <c r="B806">
        <f t="shared" si="46"/>
        <v>430</v>
      </c>
      <c r="C806">
        <v>0</v>
      </c>
      <c r="D806" s="2">
        <f t="shared" si="47"/>
        <v>204.34005555555558</v>
      </c>
    </row>
    <row r="807" spans="1:4" x14ac:dyDescent="0.2">
      <c r="A807">
        <v>44</v>
      </c>
      <c r="B807">
        <f t="shared" si="46"/>
        <v>440</v>
      </c>
      <c r="C807">
        <v>0</v>
      </c>
      <c r="D807" s="2">
        <f t="shared" si="47"/>
        <v>204.34005555555558</v>
      </c>
    </row>
    <row r="808" spans="1:4" x14ac:dyDescent="0.2">
      <c r="A808">
        <v>45</v>
      </c>
      <c r="B808">
        <f t="shared" si="46"/>
        <v>450</v>
      </c>
      <c r="C808">
        <v>0</v>
      </c>
      <c r="D808" s="2">
        <f t="shared" si="47"/>
        <v>204.34005555555558</v>
      </c>
    </row>
    <row r="809" spans="1:4" x14ac:dyDescent="0.2">
      <c r="A809">
        <v>46</v>
      </c>
      <c r="B809">
        <f t="shared" si="46"/>
        <v>460</v>
      </c>
      <c r="C809">
        <v>0</v>
      </c>
      <c r="D809" s="2">
        <f t="shared" si="47"/>
        <v>204.34005555555558</v>
      </c>
    </row>
    <row r="810" spans="1:4" x14ac:dyDescent="0.2">
      <c r="A810">
        <v>47</v>
      </c>
      <c r="B810">
        <f t="shared" si="46"/>
        <v>470</v>
      </c>
      <c r="C810">
        <v>0</v>
      </c>
      <c r="D810" s="2">
        <f t="shared" si="47"/>
        <v>204.34005555555558</v>
      </c>
    </row>
    <row r="811" spans="1:4" x14ac:dyDescent="0.2">
      <c r="A811">
        <v>48</v>
      </c>
      <c r="B811">
        <f t="shared" si="46"/>
        <v>480</v>
      </c>
      <c r="C811">
        <v>0</v>
      </c>
      <c r="D811" s="2">
        <f t="shared" si="47"/>
        <v>204.34005555555558</v>
      </c>
    </row>
    <row r="812" spans="1:4" x14ac:dyDescent="0.2">
      <c r="A812">
        <v>49</v>
      </c>
      <c r="B812">
        <f t="shared" si="46"/>
        <v>490</v>
      </c>
      <c r="C812">
        <v>2E-3</v>
      </c>
      <c r="D812" s="2">
        <f t="shared" si="47"/>
        <v>204.34205555555559</v>
      </c>
    </row>
    <row r="813" spans="1:4" x14ac:dyDescent="0.2">
      <c r="A813">
        <v>50</v>
      </c>
      <c r="B813">
        <f t="shared" si="46"/>
        <v>500</v>
      </c>
      <c r="C813">
        <v>1E-3</v>
      </c>
      <c r="D813" s="2">
        <f t="shared" si="47"/>
        <v>204.34105555555558</v>
      </c>
    </row>
    <row r="814" spans="1:4" x14ac:dyDescent="0.2">
      <c r="A814">
        <v>51</v>
      </c>
      <c r="B814">
        <f t="shared" si="46"/>
        <v>510</v>
      </c>
      <c r="C814">
        <v>0</v>
      </c>
      <c r="D814" s="2">
        <f t="shared" si="47"/>
        <v>204.34005555555558</v>
      </c>
    </row>
    <row r="815" spans="1:4" x14ac:dyDescent="0.2">
      <c r="A815">
        <v>52</v>
      </c>
      <c r="B815">
        <f t="shared" si="46"/>
        <v>520</v>
      </c>
      <c r="C815">
        <v>2E-3</v>
      </c>
      <c r="D815" s="2">
        <f t="shared" si="47"/>
        <v>204.34205555555559</v>
      </c>
    </row>
    <row r="816" spans="1:4" x14ac:dyDescent="0.2">
      <c r="A816">
        <v>53</v>
      </c>
      <c r="B816">
        <f t="shared" si="46"/>
        <v>530</v>
      </c>
      <c r="C816">
        <v>0</v>
      </c>
      <c r="D816" s="2">
        <f t="shared" si="47"/>
        <v>204.34005555555558</v>
      </c>
    </row>
    <row r="817" spans="1:4" x14ac:dyDescent="0.2">
      <c r="A817">
        <v>54</v>
      </c>
      <c r="B817">
        <f t="shared" si="46"/>
        <v>540</v>
      </c>
      <c r="C817">
        <v>0</v>
      </c>
      <c r="D817" s="2">
        <f t="shared" si="47"/>
        <v>204.34005555555558</v>
      </c>
    </row>
    <row r="818" spans="1:4" x14ac:dyDescent="0.2">
      <c r="A818">
        <v>55</v>
      </c>
      <c r="B818">
        <f t="shared" si="46"/>
        <v>550</v>
      </c>
      <c r="C818">
        <v>1E-3</v>
      </c>
      <c r="D818" s="2">
        <f t="shared" si="47"/>
        <v>204.34105555555558</v>
      </c>
    </row>
    <row r="819" spans="1:4" x14ac:dyDescent="0.2">
      <c r="A819">
        <v>56</v>
      </c>
      <c r="B819">
        <f t="shared" si="46"/>
        <v>560</v>
      </c>
      <c r="C819">
        <v>1E-3</v>
      </c>
      <c r="D819" s="2">
        <f t="shared" si="47"/>
        <v>204.34105555555558</v>
      </c>
    </row>
    <row r="820" spans="1:4" x14ac:dyDescent="0.2">
      <c r="A820">
        <v>57</v>
      </c>
      <c r="B820">
        <f t="shared" si="46"/>
        <v>570</v>
      </c>
      <c r="C820">
        <v>2E-3</v>
      </c>
      <c r="D820" s="2">
        <f t="shared" si="47"/>
        <v>204.34205555555559</v>
      </c>
    </row>
    <row r="821" spans="1:4" x14ac:dyDescent="0.2">
      <c r="A821">
        <v>58</v>
      </c>
      <c r="B821">
        <f t="shared" si="46"/>
        <v>580</v>
      </c>
      <c r="C821">
        <v>0</v>
      </c>
      <c r="D821" s="2">
        <f t="shared" si="47"/>
        <v>204.34005555555558</v>
      </c>
    </row>
    <row r="822" spans="1:4" x14ac:dyDescent="0.2">
      <c r="A822">
        <v>59</v>
      </c>
      <c r="B822">
        <f t="shared" si="46"/>
        <v>590</v>
      </c>
      <c r="C822">
        <v>0</v>
      </c>
      <c r="D822" s="2">
        <f t="shared" si="47"/>
        <v>204.34005555555558</v>
      </c>
    </row>
    <row r="823" spans="1:4" x14ac:dyDescent="0.2">
      <c r="A823">
        <v>60</v>
      </c>
      <c r="B823">
        <f t="shared" si="46"/>
        <v>600</v>
      </c>
      <c r="C823">
        <v>-1E-3</v>
      </c>
      <c r="D823" s="2">
        <f t="shared" si="47"/>
        <v>204.33905555555557</v>
      </c>
    </row>
    <row r="824" spans="1:4" x14ac:dyDescent="0.2">
      <c r="A824">
        <v>61</v>
      </c>
      <c r="B824">
        <f t="shared" si="46"/>
        <v>610</v>
      </c>
      <c r="C824">
        <v>-1E-3</v>
      </c>
      <c r="D824" s="2">
        <f t="shared" si="47"/>
        <v>204.33905555555557</v>
      </c>
    </row>
    <row r="825" spans="1:4" x14ac:dyDescent="0.2">
      <c r="A825">
        <v>62</v>
      </c>
      <c r="B825">
        <f t="shared" si="46"/>
        <v>620</v>
      </c>
      <c r="C825">
        <v>-1E-3</v>
      </c>
      <c r="D825" s="2">
        <f t="shared" si="47"/>
        <v>204.33905555555557</v>
      </c>
    </row>
    <row r="826" spans="1:4" x14ac:dyDescent="0.2">
      <c r="A826">
        <v>63</v>
      </c>
      <c r="B826">
        <f t="shared" si="46"/>
        <v>630</v>
      </c>
      <c r="C826">
        <v>-1E-3</v>
      </c>
      <c r="D826" s="2">
        <f t="shared" si="47"/>
        <v>204.33905555555557</v>
      </c>
    </row>
    <row r="827" spans="1:4" x14ac:dyDescent="0.2">
      <c r="A827">
        <v>64</v>
      </c>
      <c r="B827">
        <f t="shared" si="46"/>
        <v>640</v>
      </c>
      <c r="C827">
        <v>0</v>
      </c>
      <c r="D827" s="2">
        <f t="shared" si="47"/>
        <v>204.34005555555558</v>
      </c>
    </row>
    <row r="828" spans="1:4" x14ac:dyDescent="0.2">
      <c r="A828">
        <v>65</v>
      </c>
      <c r="B828">
        <f t="shared" si="46"/>
        <v>650</v>
      </c>
      <c r="C828">
        <v>0</v>
      </c>
      <c r="D828" s="2">
        <f t="shared" si="47"/>
        <v>204.34005555555558</v>
      </c>
    </row>
    <row r="829" spans="1:4" x14ac:dyDescent="0.2">
      <c r="A829">
        <v>66</v>
      </c>
      <c r="B829">
        <f t="shared" si="46"/>
        <v>660</v>
      </c>
      <c r="C829">
        <v>0</v>
      </c>
      <c r="D829" s="2">
        <f t="shared" si="47"/>
        <v>204.34005555555558</v>
      </c>
    </row>
    <row r="830" spans="1:4" x14ac:dyDescent="0.2">
      <c r="A830">
        <v>67</v>
      </c>
      <c r="B830">
        <f t="shared" si="46"/>
        <v>670</v>
      </c>
      <c r="C830">
        <v>0</v>
      </c>
      <c r="D830" s="2">
        <f t="shared" si="47"/>
        <v>204.34005555555558</v>
      </c>
    </row>
    <row r="831" spans="1:4" x14ac:dyDescent="0.2">
      <c r="A831">
        <v>68</v>
      </c>
      <c r="B831">
        <f t="shared" si="46"/>
        <v>680</v>
      </c>
      <c r="C831">
        <v>0</v>
      </c>
      <c r="D831" s="2">
        <f t="shared" si="47"/>
        <v>204.34005555555558</v>
      </c>
    </row>
    <row r="832" spans="1:4" x14ac:dyDescent="0.2">
      <c r="A832">
        <v>69</v>
      </c>
      <c r="B832">
        <f t="shared" si="46"/>
        <v>690</v>
      </c>
      <c r="C832">
        <v>-1E-3</v>
      </c>
      <c r="D832" s="2">
        <f t="shared" si="47"/>
        <v>204.33905555555557</v>
      </c>
    </row>
    <row r="833" spans="1:4" x14ac:dyDescent="0.2">
      <c r="A833">
        <v>70</v>
      </c>
      <c r="B833">
        <f t="shared" si="46"/>
        <v>700</v>
      </c>
      <c r="C833">
        <v>-1E-3</v>
      </c>
      <c r="D833" s="2">
        <f t="shared" si="47"/>
        <v>204.33905555555557</v>
      </c>
    </row>
    <row r="834" spans="1:4" x14ac:dyDescent="0.2">
      <c r="A834">
        <v>71</v>
      </c>
      <c r="B834">
        <f t="shared" si="46"/>
        <v>710</v>
      </c>
      <c r="C834">
        <v>-1E-3</v>
      </c>
      <c r="D834" s="2">
        <f t="shared" si="47"/>
        <v>204.33905555555557</v>
      </c>
    </row>
    <row r="835" spans="1:4" x14ac:dyDescent="0.2">
      <c r="A835">
        <v>72</v>
      </c>
      <c r="B835">
        <f t="shared" si="46"/>
        <v>720</v>
      </c>
      <c r="C835">
        <v>-1E-3</v>
      </c>
      <c r="D835" s="2">
        <f t="shared" si="47"/>
        <v>204.33905555555557</v>
      </c>
    </row>
    <row r="836" spans="1:4" x14ac:dyDescent="0.2">
      <c r="A836">
        <v>73</v>
      </c>
      <c r="B836">
        <f t="shared" si="46"/>
        <v>730</v>
      </c>
      <c r="C836">
        <v>-1E-3</v>
      </c>
      <c r="D836" s="2">
        <f t="shared" si="47"/>
        <v>204.33905555555557</v>
      </c>
    </row>
    <row r="837" spans="1:4" x14ac:dyDescent="0.2">
      <c r="A837">
        <v>74</v>
      </c>
      <c r="B837">
        <f t="shared" si="46"/>
        <v>740</v>
      </c>
      <c r="C837">
        <v>-1E-3</v>
      </c>
      <c r="D837" s="2">
        <f t="shared" si="47"/>
        <v>204.33905555555557</v>
      </c>
    </row>
    <row r="838" spans="1:4" x14ac:dyDescent="0.2">
      <c r="A838">
        <v>75</v>
      </c>
      <c r="B838">
        <f t="shared" si="46"/>
        <v>750</v>
      </c>
      <c r="C838">
        <v>-1E-3</v>
      </c>
      <c r="D838" s="2">
        <f t="shared" si="47"/>
        <v>204.33905555555557</v>
      </c>
    </row>
    <row r="839" spans="1:4" x14ac:dyDescent="0.2">
      <c r="A839">
        <v>76</v>
      </c>
      <c r="B839">
        <f t="shared" si="46"/>
        <v>760</v>
      </c>
      <c r="C839">
        <v>-1E-3</v>
      </c>
      <c r="D839" s="2">
        <f t="shared" si="47"/>
        <v>204.33905555555557</v>
      </c>
    </row>
    <row r="840" spans="1:4" x14ac:dyDescent="0.2">
      <c r="A840">
        <v>77</v>
      </c>
      <c r="B840">
        <f t="shared" si="46"/>
        <v>770</v>
      </c>
      <c r="C840">
        <v>-1E-3</v>
      </c>
      <c r="D840" s="2">
        <f t="shared" si="47"/>
        <v>204.33905555555557</v>
      </c>
    </row>
    <row r="841" spans="1:4" x14ac:dyDescent="0.2">
      <c r="A841">
        <v>78</v>
      </c>
      <c r="B841">
        <f t="shared" si="46"/>
        <v>780</v>
      </c>
      <c r="C841">
        <v>-1E-3</v>
      </c>
      <c r="D841" s="2">
        <f t="shared" si="47"/>
        <v>204.33905555555557</v>
      </c>
    </row>
    <row r="842" spans="1:4" x14ac:dyDescent="0.2">
      <c r="A842">
        <v>79</v>
      </c>
      <c r="B842">
        <f t="shared" si="46"/>
        <v>790</v>
      </c>
      <c r="C842">
        <v>-1E-3</v>
      </c>
      <c r="D842" s="2">
        <f t="shared" si="47"/>
        <v>204.33905555555557</v>
      </c>
    </row>
    <row r="843" spans="1:4" x14ac:dyDescent="0.2">
      <c r="A843">
        <v>80</v>
      </c>
      <c r="B843">
        <f t="shared" si="46"/>
        <v>800</v>
      </c>
      <c r="C843">
        <v>-2E-3</v>
      </c>
      <c r="D843" s="2">
        <f t="shared" si="47"/>
        <v>204.33805555555557</v>
      </c>
    </row>
    <row r="844" spans="1:4" x14ac:dyDescent="0.2">
      <c r="A844">
        <v>81</v>
      </c>
      <c r="B844">
        <f t="shared" si="46"/>
        <v>810</v>
      </c>
      <c r="C844">
        <v>-1E-3</v>
      </c>
      <c r="D844" s="2">
        <f t="shared" si="47"/>
        <v>204.33905555555557</v>
      </c>
    </row>
    <row r="845" spans="1:4" x14ac:dyDescent="0.2">
      <c r="A845">
        <v>82</v>
      </c>
      <c r="B845">
        <f t="shared" si="46"/>
        <v>820</v>
      </c>
      <c r="C845">
        <v>-1E-3</v>
      </c>
      <c r="D845" s="2">
        <f t="shared" si="47"/>
        <v>204.33905555555557</v>
      </c>
    </row>
    <row r="846" spans="1:4" x14ac:dyDescent="0.2">
      <c r="A846">
        <v>83</v>
      </c>
      <c r="B846">
        <f t="shared" si="46"/>
        <v>830</v>
      </c>
      <c r="C846">
        <v>9.43</v>
      </c>
      <c r="D846" s="2">
        <f t="shared" si="47"/>
        <v>213.77005555555559</v>
      </c>
    </row>
    <row r="847" spans="1:4" x14ac:dyDescent="0.2">
      <c r="A847">
        <v>84</v>
      </c>
      <c r="B847">
        <f t="shared" si="46"/>
        <v>840</v>
      </c>
      <c r="C847">
        <v>15.362</v>
      </c>
      <c r="D847" s="2">
        <f t="shared" si="47"/>
        <v>219.70205555555557</v>
      </c>
    </row>
    <row r="848" spans="1:4" x14ac:dyDescent="0.2">
      <c r="A848">
        <v>85</v>
      </c>
      <c r="B848">
        <f t="shared" ref="B848:B855" si="48">A848*10</f>
        <v>850</v>
      </c>
      <c r="C848">
        <v>14.505000000000001</v>
      </c>
      <c r="D848" s="2">
        <f t="shared" ref="D848:D855" si="49">C848+((-0.7286*$C$14)+227.21)</f>
        <v>218.84505555555558</v>
      </c>
    </row>
    <row r="849" spans="1:10" x14ac:dyDescent="0.2">
      <c r="A849">
        <v>86</v>
      </c>
      <c r="B849">
        <f t="shared" si="48"/>
        <v>860</v>
      </c>
      <c r="C849">
        <v>14.035</v>
      </c>
      <c r="D849" s="2">
        <f t="shared" si="49"/>
        <v>218.37505555555558</v>
      </c>
    </row>
    <row r="850" spans="1:10" x14ac:dyDescent="0.2">
      <c r="A850">
        <v>87</v>
      </c>
      <c r="B850">
        <f t="shared" si="48"/>
        <v>870</v>
      </c>
      <c r="C850">
        <v>13.411</v>
      </c>
      <c r="D850" s="2">
        <f t="shared" si="49"/>
        <v>217.75105555555558</v>
      </c>
    </row>
    <row r="851" spans="1:10" x14ac:dyDescent="0.2">
      <c r="A851">
        <v>88</v>
      </c>
      <c r="B851">
        <f t="shared" si="48"/>
        <v>880</v>
      </c>
      <c r="C851">
        <v>12.311999999999999</v>
      </c>
      <c r="D851" s="2">
        <f t="shared" si="49"/>
        <v>216.65205555555559</v>
      </c>
    </row>
    <row r="852" spans="1:10" x14ac:dyDescent="0.2">
      <c r="A852">
        <v>89</v>
      </c>
      <c r="B852">
        <f t="shared" si="48"/>
        <v>890</v>
      </c>
      <c r="C852">
        <v>11.638999999999999</v>
      </c>
      <c r="D852" s="2">
        <f t="shared" si="49"/>
        <v>215.97905555555559</v>
      </c>
    </row>
    <row r="853" spans="1:10" x14ac:dyDescent="0.2">
      <c r="A853">
        <v>90</v>
      </c>
      <c r="B853">
        <f t="shared" si="48"/>
        <v>900</v>
      </c>
      <c r="C853">
        <v>10.976000000000001</v>
      </c>
      <c r="D853" s="2">
        <f t="shared" si="49"/>
        <v>215.31605555555558</v>
      </c>
    </row>
    <row r="854" spans="1:10" x14ac:dyDescent="0.2">
      <c r="A854">
        <v>91</v>
      </c>
      <c r="B854">
        <f t="shared" si="48"/>
        <v>910</v>
      </c>
      <c r="C854">
        <v>9.91</v>
      </c>
      <c r="D854" s="2">
        <f t="shared" si="49"/>
        <v>214.25005555555558</v>
      </c>
    </row>
    <row r="855" spans="1:10" x14ac:dyDescent="0.2">
      <c r="A855">
        <v>92</v>
      </c>
      <c r="B855">
        <f t="shared" si="48"/>
        <v>920</v>
      </c>
      <c r="C855">
        <v>9.7479999999999993</v>
      </c>
      <c r="D855" s="2">
        <f t="shared" si="49"/>
        <v>214.08805555555557</v>
      </c>
    </row>
    <row r="857" spans="1:10" x14ac:dyDescent="0.2">
      <c r="A857" t="s">
        <v>30</v>
      </c>
    </row>
    <row r="858" spans="1:10" x14ac:dyDescent="0.2">
      <c r="A858" t="s">
        <v>9</v>
      </c>
      <c r="B858" t="s">
        <v>10</v>
      </c>
      <c r="C858" t="s">
        <v>11</v>
      </c>
      <c r="D858" t="s">
        <v>12</v>
      </c>
      <c r="E858" t="s">
        <v>14</v>
      </c>
      <c r="F858" t="s">
        <v>13</v>
      </c>
      <c r="G858" t="s">
        <v>18</v>
      </c>
      <c r="H858" t="s">
        <v>5</v>
      </c>
      <c r="I858" t="s">
        <v>23</v>
      </c>
      <c r="J858" t="s">
        <v>24</v>
      </c>
    </row>
    <row r="859" spans="1:10" x14ac:dyDescent="0.2">
      <c r="A859">
        <v>20</v>
      </c>
      <c r="B859">
        <f>A859*10</f>
        <v>200</v>
      </c>
      <c r="C859">
        <v>0.04</v>
      </c>
      <c r="D859" s="2">
        <f>C859+((-0.7286*$C$15)+227.21)</f>
        <v>202.35616666666667</v>
      </c>
      <c r="E859" s="2">
        <f>AVERAGE(C859:C931)</f>
        <v>1.2835616438356174E-2</v>
      </c>
      <c r="F859" s="2">
        <f>AVERAGE(D859:D931)</f>
        <v>202.32900228310498</v>
      </c>
      <c r="G859">
        <f>_xlfn.STDEV.S(D859:D931)</f>
        <v>7.2437975358045428E-3</v>
      </c>
      <c r="H859">
        <f>(G859/F859)*100</f>
        <v>3.5802072140250054E-3</v>
      </c>
      <c r="I859" s="2">
        <f>MAX(D859:D931)</f>
        <v>202.35616666666667</v>
      </c>
      <c r="J859" s="2">
        <f>MIN(D859:D931)</f>
        <v>202.31816666666668</v>
      </c>
    </row>
    <row r="860" spans="1:10" x14ac:dyDescent="0.2">
      <c r="A860">
        <v>21</v>
      </c>
      <c r="B860">
        <f t="shared" ref="B860:B923" si="50">A860*10</f>
        <v>210</v>
      </c>
      <c r="C860">
        <v>2.5000000000000001E-2</v>
      </c>
      <c r="D860" s="2">
        <f t="shared" ref="D860:D923" si="51">C860+((-0.7286*$C$15)+227.21)</f>
        <v>202.34116666666668</v>
      </c>
    </row>
    <row r="861" spans="1:10" x14ac:dyDescent="0.2">
      <c r="A861">
        <v>22</v>
      </c>
      <c r="B861">
        <f t="shared" si="50"/>
        <v>220</v>
      </c>
      <c r="C861">
        <v>8.9999999999999993E-3</v>
      </c>
      <c r="D861" s="2">
        <f t="shared" si="51"/>
        <v>202.32516666666666</v>
      </c>
    </row>
    <row r="862" spans="1:10" x14ac:dyDescent="0.2">
      <c r="A862">
        <v>23</v>
      </c>
      <c r="B862">
        <f t="shared" si="50"/>
        <v>230</v>
      </c>
      <c r="C862">
        <v>2E-3</v>
      </c>
      <c r="D862" s="2">
        <f t="shared" si="51"/>
        <v>202.31816666666668</v>
      </c>
    </row>
    <row r="863" spans="1:10" x14ac:dyDescent="0.2">
      <c r="A863">
        <v>24</v>
      </c>
      <c r="B863">
        <f t="shared" si="50"/>
        <v>240</v>
      </c>
      <c r="C863">
        <v>3.0000000000000001E-3</v>
      </c>
      <c r="D863" s="2">
        <f t="shared" si="51"/>
        <v>202.31916666666666</v>
      </c>
    </row>
    <row r="864" spans="1:10" x14ac:dyDescent="0.2">
      <c r="A864">
        <v>25</v>
      </c>
      <c r="B864">
        <f t="shared" si="50"/>
        <v>250</v>
      </c>
      <c r="C864">
        <v>5.0000000000000001E-3</v>
      </c>
      <c r="D864" s="2">
        <f t="shared" si="51"/>
        <v>202.32116666666667</v>
      </c>
    </row>
    <row r="865" spans="1:4" x14ac:dyDescent="0.2">
      <c r="A865">
        <v>26</v>
      </c>
      <c r="B865">
        <f t="shared" si="50"/>
        <v>260</v>
      </c>
      <c r="C865">
        <v>7.0000000000000001E-3</v>
      </c>
      <c r="D865" s="2">
        <f t="shared" si="51"/>
        <v>202.32316666666668</v>
      </c>
    </row>
    <row r="866" spans="1:4" x14ac:dyDescent="0.2">
      <c r="A866">
        <v>27</v>
      </c>
      <c r="B866">
        <f t="shared" si="50"/>
        <v>270</v>
      </c>
      <c r="C866">
        <v>6.0000000000000001E-3</v>
      </c>
      <c r="D866" s="2">
        <f t="shared" si="51"/>
        <v>202.32216666666667</v>
      </c>
    </row>
    <row r="867" spans="1:4" x14ac:dyDescent="0.2">
      <c r="A867">
        <v>28</v>
      </c>
      <c r="B867">
        <f t="shared" si="50"/>
        <v>280</v>
      </c>
      <c r="C867">
        <v>3.0000000000000001E-3</v>
      </c>
      <c r="D867" s="2">
        <f t="shared" si="51"/>
        <v>202.31916666666666</v>
      </c>
    </row>
    <row r="868" spans="1:4" x14ac:dyDescent="0.2">
      <c r="A868">
        <v>29</v>
      </c>
      <c r="B868">
        <f t="shared" si="50"/>
        <v>290</v>
      </c>
      <c r="C868">
        <v>5.0000000000000001E-3</v>
      </c>
      <c r="D868" s="2">
        <f t="shared" si="51"/>
        <v>202.32116666666667</v>
      </c>
    </row>
    <row r="869" spans="1:4" x14ac:dyDescent="0.2">
      <c r="A869">
        <v>30</v>
      </c>
      <c r="B869">
        <f t="shared" si="50"/>
        <v>300</v>
      </c>
      <c r="C869">
        <v>7.0000000000000001E-3</v>
      </c>
      <c r="D869" s="2">
        <f t="shared" si="51"/>
        <v>202.32316666666668</v>
      </c>
    </row>
    <row r="870" spans="1:4" x14ac:dyDescent="0.2">
      <c r="A870">
        <v>31</v>
      </c>
      <c r="B870">
        <f t="shared" si="50"/>
        <v>310</v>
      </c>
      <c r="C870">
        <v>6.0000000000000001E-3</v>
      </c>
      <c r="D870" s="2">
        <f t="shared" si="51"/>
        <v>202.32216666666667</v>
      </c>
    </row>
    <row r="871" spans="1:4" x14ac:dyDescent="0.2">
      <c r="A871">
        <v>32</v>
      </c>
      <c r="B871">
        <f t="shared" si="50"/>
        <v>320</v>
      </c>
      <c r="C871">
        <v>8.9999999999999993E-3</v>
      </c>
      <c r="D871" s="2">
        <f t="shared" si="51"/>
        <v>202.32516666666666</v>
      </c>
    </row>
    <row r="872" spans="1:4" x14ac:dyDescent="0.2">
      <c r="A872">
        <v>33</v>
      </c>
      <c r="B872">
        <f t="shared" si="50"/>
        <v>330</v>
      </c>
      <c r="C872">
        <v>8.0000000000000002E-3</v>
      </c>
      <c r="D872" s="2">
        <f t="shared" si="51"/>
        <v>202.32416666666668</v>
      </c>
    </row>
    <row r="873" spans="1:4" x14ac:dyDescent="0.2">
      <c r="A873">
        <v>34</v>
      </c>
      <c r="B873">
        <f t="shared" si="50"/>
        <v>340</v>
      </c>
      <c r="C873">
        <v>8.0000000000000002E-3</v>
      </c>
      <c r="D873" s="2">
        <f t="shared" si="51"/>
        <v>202.32416666666668</v>
      </c>
    </row>
    <row r="874" spans="1:4" x14ac:dyDescent="0.2">
      <c r="A874">
        <v>35</v>
      </c>
      <c r="B874">
        <f t="shared" si="50"/>
        <v>350</v>
      </c>
      <c r="C874">
        <v>8.9999999999999993E-3</v>
      </c>
      <c r="D874" s="2">
        <f t="shared" si="51"/>
        <v>202.32516666666666</v>
      </c>
    </row>
    <row r="875" spans="1:4" x14ac:dyDescent="0.2">
      <c r="A875">
        <v>36</v>
      </c>
      <c r="B875">
        <f t="shared" si="50"/>
        <v>360</v>
      </c>
      <c r="C875">
        <v>0.01</v>
      </c>
      <c r="D875" s="2">
        <f t="shared" si="51"/>
        <v>202.32616666666667</v>
      </c>
    </row>
    <row r="876" spans="1:4" x14ac:dyDescent="0.2">
      <c r="A876">
        <v>37</v>
      </c>
      <c r="B876">
        <f t="shared" si="50"/>
        <v>370</v>
      </c>
      <c r="C876">
        <v>1.0999999999999999E-2</v>
      </c>
      <c r="D876" s="2">
        <f t="shared" si="51"/>
        <v>202.32716666666667</v>
      </c>
    </row>
    <row r="877" spans="1:4" x14ac:dyDescent="0.2">
      <c r="A877">
        <v>38</v>
      </c>
      <c r="B877">
        <f t="shared" si="50"/>
        <v>380</v>
      </c>
      <c r="C877">
        <v>1.0999999999999999E-2</v>
      </c>
      <c r="D877" s="2">
        <f t="shared" si="51"/>
        <v>202.32716666666667</v>
      </c>
    </row>
    <row r="878" spans="1:4" x14ac:dyDescent="0.2">
      <c r="A878">
        <v>39</v>
      </c>
      <c r="B878">
        <f t="shared" si="50"/>
        <v>390</v>
      </c>
      <c r="C878">
        <v>8.9999999999999993E-3</v>
      </c>
      <c r="D878" s="2">
        <f t="shared" si="51"/>
        <v>202.32516666666666</v>
      </c>
    </row>
    <row r="879" spans="1:4" x14ac:dyDescent="0.2">
      <c r="A879">
        <v>40</v>
      </c>
      <c r="B879">
        <f t="shared" si="50"/>
        <v>400</v>
      </c>
      <c r="C879">
        <v>8.0000000000000002E-3</v>
      </c>
      <c r="D879" s="2">
        <f t="shared" si="51"/>
        <v>202.32416666666668</v>
      </c>
    </row>
    <row r="880" spans="1:4" x14ac:dyDescent="0.2">
      <c r="A880">
        <v>41</v>
      </c>
      <c r="B880">
        <f t="shared" si="50"/>
        <v>410</v>
      </c>
      <c r="C880">
        <v>8.9999999999999993E-3</v>
      </c>
      <c r="D880" s="2">
        <f t="shared" si="51"/>
        <v>202.32516666666666</v>
      </c>
    </row>
    <row r="881" spans="1:4" x14ac:dyDescent="0.2">
      <c r="A881">
        <v>42</v>
      </c>
      <c r="B881">
        <f t="shared" si="50"/>
        <v>420</v>
      </c>
      <c r="C881">
        <v>8.9999999999999993E-3</v>
      </c>
      <c r="D881" s="2">
        <f t="shared" si="51"/>
        <v>202.32516666666666</v>
      </c>
    </row>
    <row r="882" spans="1:4" x14ac:dyDescent="0.2">
      <c r="A882">
        <v>43</v>
      </c>
      <c r="B882">
        <f t="shared" si="50"/>
        <v>430</v>
      </c>
      <c r="C882">
        <v>8.9999999999999993E-3</v>
      </c>
      <c r="D882" s="2">
        <f t="shared" si="51"/>
        <v>202.32516666666666</v>
      </c>
    </row>
    <row r="883" spans="1:4" x14ac:dyDescent="0.2">
      <c r="A883">
        <v>44</v>
      </c>
      <c r="B883">
        <f t="shared" si="50"/>
        <v>440</v>
      </c>
      <c r="C883">
        <v>0.01</v>
      </c>
      <c r="D883" s="2">
        <f t="shared" si="51"/>
        <v>202.32616666666667</v>
      </c>
    </row>
    <row r="884" spans="1:4" x14ac:dyDescent="0.2">
      <c r="A884">
        <v>45</v>
      </c>
      <c r="B884">
        <f t="shared" si="50"/>
        <v>450</v>
      </c>
      <c r="C884">
        <v>8.9999999999999993E-3</v>
      </c>
      <c r="D884" s="2">
        <f t="shared" si="51"/>
        <v>202.32516666666666</v>
      </c>
    </row>
    <row r="885" spans="1:4" x14ac:dyDescent="0.2">
      <c r="A885">
        <v>46</v>
      </c>
      <c r="B885">
        <f t="shared" si="50"/>
        <v>460</v>
      </c>
      <c r="C885">
        <v>1.0999999999999999E-2</v>
      </c>
      <c r="D885" s="2">
        <f t="shared" si="51"/>
        <v>202.32716666666667</v>
      </c>
    </row>
    <row r="886" spans="1:4" x14ac:dyDescent="0.2">
      <c r="A886">
        <v>47</v>
      </c>
      <c r="B886">
        <f t="shared" si="50"/>
        <v>470</v>
      </c>
      <c r="C886">
        <v>8.9999999999999993E-3</v>
      </c>
      <c r="D886" s="2">
        <f t="shared" si="51"/>
        <v>202.32516666666666</v>
      </c>
    </row>
    <row r="887" spans="1:4" x14ac:dyDescent="0.2">
      <c r="A887">
        <v>48</v>
      </c>
      <c r="B887">
        <f t="shared" si="50"/>
        <v>480</v>
      </c>
      <c r="C887">
        <v>0.01</v>
      </c>
      <c r="D887" s="2">
        <f t="shared" si="51"/>
        <v>202.32616666666667</v>
      </c>
    </row>
    <row r="888" spans="1:4" x14ac:dyDescent="0.2">
      <c r="A888">
        <v>49</v>
      </c>
      <c r="B888">
        <f t="shared" si="50"/>
        <v>490</v>
      </c>
      <c r="C888">
        <v>8.9999999999999993E-3</v>
      </c>
      <c r="D888" s="2">
        <f t="shared" si="51"/>
        <v>202.32516666666666</v>
      </c>
    </row>
    <row r="889" spans="1:4" x14ac:dyDescent="0.2">
      <c r="A889">
        <v>50</v>
      </c>
      <c r="B889">
        <f t="shared" si="50"/>
        <v>500</v>
      </c>
      <c r="C889">
        <v>7.0000000000000001E-3</v>
      </c>
      <c r="D889" s="2">
        <f t="shared" si="51"/>
        <v>202.32316666666668</v>
      </c>
    </row>
    <row r="890" spans="1:4" x14ac:dyDescent="0.2">
      <c r="A890">
        <v>51</v>
      </c>
      <c r="B890">
        <f t="shared" si="50"/>
        <v>510</v>
      </c>
      <c r="C890">
        <v>6.0000000000000001E-3</v>
      </c>
      <c r="D890" s="2">
        <f t="shared" si="51"/>
        <v>202.32216666666667</v>
      </c>
    </row>
    <row r="891" spans="1:4" x14ac:dyDescent="0.2">
      <c r="A891">
        <v>52</v>
      </c>
      <c r="B891">
        <f t="shared" si="50"/>
        <v>520</v>
      </c>
      <c r="C891">
        <v>7.0000000000000001E-3</v>
      </c>
      <c r="D891" s="2">
        <f t="shared" si="51"/>
        <v>202.32316666666668</v>
      </c>
    </row>
    <row r="892" spans="1:4" x14ac:dyDescent="0.2">
      <c r="A892">
        <v>53</v>
      </c>
      <c r="B892">
        <f t="shared" si="50"/>
        <v>530</v>
      </c>
      <c r="C892">
        <v>7.0000000000000001E-3</v>
      </c>
      <c r="D892" s="2">
        <f t="shared" si="51"/>
        <v>202.32316666666668</v>
      </c>
    </row>
    <row r="893" spans="1:4" x14ac:dyDescent="0.2">
      <c r="A893">
        <v>54</v>
      </c>
      <c r="B893">
        <f t="shared" si="50"/>
        <v>540</v>
      </c>
      <c r="C893">
        <v>7.0000000000000001E-3</v>
      </c>
      <c r="D893" s="2">
        <f t="shared" si="51"/>
        <v>202.32316666666668</v>
      </c>
    </row>
    <row r="894" spans="1:4" x14ac:dyDescent="0.2">
      <c r="A894">
        <v>55</v>
      </c>
      <c r="B894">
        <f t="shared" si="50"/>
        <v>550</v>
      </c>
      <c r="C894">
        <v>8.0000000000000002E-3</v>
      </c>
      <c r="D894" s="2">
        <f t="shared" si="51"/>
        <v>202.32416666666668</v>
      </c>
    </row>
    <row r="895" spans="1:4" x14ac:dyDescent="0.2">
      <c r="A895">
        <v>56</v>
      </c>
      <c r="B895">
        <f t="shared" si="50"/>
        <v>560</v>
      </c>
      <c r="C895">
        <v>7.0000000000000001E-3</v>
      </c>
      <c r="D895" s="2">
        <f t="shared" si="51"/>
        <v>202.32316666666668</v>
      </c>
    </row>
    <row r="896" spans="1:4" x14ac:dyDescent="0.2">
      <c r="A896">
        <v>57</v>
      </c>
      <c r="B896">
        <f t="shared" si="50"/>
        <v>570</v>
      </c>
      <c r="C896">
        <v>8.9999999999999993E-3</v>
      </c>
      <c r="D896" s="2">
        <f t="shared" si="51"/>
        <v>202.32516666666666</v>
      </c>
    </row>
    <row r="897" spans="1:4" x14ac:dyDescent="0.2">
      <c r="A897">
        <v>58</v>
      </c>
      <c r="B897">
        <f t="shared" si="50"/>
        <v>580</v>
      </c>
      <c r="C897">
        <v>0.01</v>
      </c>
      <c r="D897" s="2">
        <f t="shared" si="51"/>
        <v>202.32616666666667</v>
      </c>
    </row>
    <row r="898" spans="1:4" x14ac:dyDescent="0.2">
      <c r="A898">
        <v>59</v>
      </c>
      <c r="B898">
        <f t="shared" si="50"/>
        <v>590</v>
      </c>
      <c r="C898">
        <v>0.01</v>
      </c>
      <c r="D898" s="2">
        <f t="shared" si="51"/>
        <v>202.32616666666667</v>
      </c>
    </row>
    <row r="899" spans="1:4" x14ac:dyDescent="0.2">
      <c r="A899">
        <v>60</v>
      </c>
      <c r="B899">
        <f t="shared" si="50"/>
        <v>600</v>
      </c>
      <c r="C899">
        <v>0.01</v>
      </c>
      <c r="D899" s="2">
        <f t="shared" si="51"/>
        <v>202.32616666666667</v>
      </c>
    </row>
    <row r="900" spans="1:4" x14ac:dyDescent="0.2">
      <c r="A900">
        <v>61</v>
      </c>
      <c r="B900">
        <f t="shared" si="50"/>
        <v>610</v>
      </c>
      <c r="C900">
        <v>1.2E-2</v>
      </c>
      <c r="D900" s="2">
        <f t="shared" si="51"/>
        <v>202.32816666666668</v>
      </c>
    </row>
    <row r="901" spans="1:4" x14ac:dyDescent="0.2">
      <c r="A901">
        <v>62</v>
      </c>
      <c r="B901">
        <f t="shared" si="50"/>
        <v>620</v>
      </c>
      <c r="C901">
        <v>1.0999999999999999E-2</v>
      </c>
      <c r="D901" s="2">
        <f t="shared" si="51"/>
        <v>202.32716666666667</v>
      </c>
    </row>
    <row r="902" spans="1:4" x14ac:dyDescent="0.2">
      <c r="A902">
        <v>63</v>
      </c>
      <c r="B902">
        <f t="shared" si="50"/>
        <v>630</v>
      </c>
      <c r="C902">
        <v>1.2E-2</v>
      </c>
      <c r="D902" s="2">
        <f t="shared" si="51"/>
        <v>202.32816666666668</v>
      </c>
    </row>
    <row r="903" spans="1:4" x14ac:dyDescent="0.2">
      <c r="A903">
        <v>64</v>
      </c>
      <c r="B903">
        <f t="shared" si="50"/>
        <v>640</v>
      </c>
      <c r="C903">
        <v>1.2999999999999999E-2</v>
      </c>
      <c r="D903" s="2">
        <f t="shared" si="51"/>
        <v>202.32916666666668</v>
      </c>
    </row>
    <row r="904" spans="1:4" x14ac:dyDescent="0.2">
      <c r="A904">
        <v>65</v>
      </c>
      <c r="B904">
        <f t="shared" si="50"/>
        <v>650</v>
      </c>
      <c r="C904">
        <v>1.4999999999999999E-2</v>
      </c>
      <c r="D904" s="2">
        <f t="shared" si="51"/>
        <v>202.33116666666666</v>
      </c>
    </row>
    <row r="905" spans="1:4" x14ac:dyDescent="0.2">
      <c r="A905">
        <v>66</v>
      </c>
      <c r="B905">
        <f t="shared" si="50"/>
        <v>660</v>
      </c>
      <c r="C905">
        <v>1.2E-2</v>
      </c>
      <c r="D905" s="2">
        <f t="shared" si="51"/>
        <v>202.32816666666668</v>
      </c>
    </row>
    <row r="906" spans="1:4" x14ac:dyDescent="0.2">
      <c r="A906">
        <v>67</v>
      </c>
      <c r="B906">
        <f t="shared" si="50"/>
        <v>670</v>
      </c>
      <c r="C906">
        <v>8.0000000000000002E-3</v>
      </c>
      <c r="D906" s="2">
        <f t="shared" si="51"/>
        <v>202.32416666666668</v>
      </c>
    </row>
    <row r="907" spans="1:4" x14ac:dyDescent="0.2">
      <c r="A907">
        <v>68</v>
      </c>
      <c r="B907">
        <f t="shared" si="50"/>
        <v>680</v>
      </c>
      <c r="C907">
        <v>8.0000000000000002E-3</v>
      </c>
      <c r="D907" s="2">
        <f t="shared" si="51"/>
        <v>202.32416666666668</v>
      </c>
    </row>
    <row r="908" spans="1:4" x14ac:dyDescent="0.2">
      <c r="A908">
        <v>69</v>
      </c>
      <c r="B908">
        <f t="shared" si="50"/>
        <v>690</v>
      </c>
      <c r="C908">
        <v>8.9999999999999993E-3</v>
      </c>
      <c r="D908" s="2">
        <f t="shared" si="51"/>
        <v>202.32516666666666</v>
      </c>
    </row>
    <row r="909" spans="1:4" x14ac:dyDescent="0.2">
      <c r="A909">
        <v>70</v>
      </c>
      <c r="B909">
        <f t="shared" si="50"/>
        <v>700</v>
      </c>
      <c r="C909">
        <v>1.2E-2</v>
      </c>
      <c r="D909" s="2">
        <f t="shared" si="51"/>
        <v>202.32816666666668</v>
      </c>
    </row>
    <row r="910" spans="1:4" x14ac:dyDescent="0.2">
      <c r="A910">
        <v>71</v>
      </c>
      <c r="B910">
        <f t="shared" si="50"/>
        <v>710</v>
      </c>
      <c r="C910">
        <v>1.2999999999999999E-2</v>
      </c>
      <c r="D910" s="2">
        <f t="shared" si="51"/>
        <v>202.32916666666668</v>
      </c>
    </row>
    <row r="911" spans="1:4" x14ac:dyDescent="0.2">
      <c r="A911">
        <v>72</v>
      </c>
      <c r="B911">
        <f t="shared" si="50"/>
        <v>720</v>
      </c>
      <c r="C911">
        <v>1.0999999999999999E-2</v>
      </c>
      <c r="D911" s="2">
        <f t="shared" si="51"/>
        <v>202.32716666666667</v>
      </c>
    </row>
    <row r="912" spans="1:4" x14ac:dyDescent="0.2">
      <c r="A912">
        <v>73</v>
      </c>
      <c r="B912">
        <f t="shared" si="50"/>
        <v>730</v>
      </c>
      <c r="C912">
        <v>1.4999999999999999E-2</v>
      </c>
      <c r="D912" s="2">
        <f t="shared" si="51"/>
        <v>202.33116666666666</v>
      </c>
    </row>
    <row r="913" spans="1:4" x14ac:dyDescent="0.2">
      <c r="A913">
        <v>74</v>
      </c>
      <c r="B913">
        <f t="shared" si="50"/>
        <v>740</v>
      </c>
      <c r="C913">
        <v>1.4999999999999999E-2</v>
      </c>
      <c r="D913" s="2">
        <f t="shared" si="51"/>
        <v>202.33116666666666</v>
      </c>
    </row>
    <row r="914" spans="1:4" x14ac:dyDescent="0.2">
      <c r="A914">
        <v>75</v>
      </c>
      <c r="B914">
        <f t="shared" si="50"/>
        <v>750</v>
      </c>
      <c r="C914">
        <v>1.6E-2</v>
      </c>
      <c r="D914" s="2">
        <f t="shared" si="51"/>
        <v>202.33216666666667</v>
      </c>
    </row>
    <row r="915" spans="1:4" x14ac:dyDescent="0.2">
      <c r="A915">
        <v>76</v>
      </c>
      <c r="B915">
        <f t="shared" si="50"/>
        <v>760</v>
      </c>
      <c r="C915">
        <v>1.7999999999999999E-2</v>
      </c>
      <c r="D915" s="2">
        <f t="shared" si="51"/>
        <v>202.33416666666668</v>
      </c>
    </row>
    <row r="916" spans="1:4" x14ac:dyDescent="0.2">
      <c r="A916">
        <v>77</v>
      </c>
      <c r="B916">
        <f t="shared" si="50"/>
        <v>770</v>
      </c>
      <c r="C916">
        <v>0.02</v>
      </c>
      <c r="D916" s="2">
        <f t="shared" si="51"/>
        <v>202.33616666666668</v>
      </c>
    </row>
    <row r="917" spans="1:4" x14ac:dyDescent="0.2">
      <c r="A917">
        <v>78</v>
      </c>
      <c r="B917">
        <f t="shared" si="50"/>
        <v>780</v>
      </c>
      <c r="C917">
        <v>2.1000000000000001E-2</v>
      </c>
      <c r="D917" s="2">
        <f t="shared" si="51"/>
        <v>202.33716666666666</v>
      </c>
    </row>
    <row r="918" spans="1:4" x14ac:dyDescent="0.2">
      <c r="A918">
        <v>79</v>
      </c>
      <c r="B918">
        <f t="shared" si="50"/>
        <v>790</v>
      </c>
      <c r="C918">
        <v>2.5000000000000001E-2</v>
      </c>
      <c r="D918" s="2">
        <f t="shared" si="51"/>
        <v>202.34116666666668</v>
      </c>
    </row>
    <row r="919" spans="1:4" x14ac:dyDescent="0.2">
      <c r="A919">
        <v>80</v>
      </c>
      <c r="B919">
        <f t="shared" si="50"/>
        <v>800</v>
      </c>
      <c r="C919">
        <v>2.3E-2</v>
      </c>
      <c r="D919" s="2">
        <f t="shared" si="51"/>
        <v>202.33916666666667</v>
      </c>
    </row>
    <row r="920" spans="1:4" x14ac:dyDescent="0.2">
      <c r="A920">
        <v>81</v>
      </c>
      <c r="B920">
        <f t="shared" si="50"/>
        <v>810</v>
      </c>
      <c r="C920">
        <v>2.5000000000000001E-2</v>
      </c>
      <c r="D920" s="2">
        <f t="shared" si="51"/>
        <v>202.34116666666668</v>
      </c>
    </row>
    <row r="921" spans="1:4" x14ac:dyDescent="0.2">
      <c r="A921">
        <v>82</v>
      </c>
      <c r="B921">
        <f t="shared" si="50"/>
        <v>820</v>
      </c>
      <c r="C921">
        <v>2.8000000000000001E-2</v>
      </c>
      <c r="D921" s="2">
        <f t="shared" si="51"/>
        <v>202.34416666666667</v>
      </c>
    </row>
    <row r="922" spans="1:4" x14ac:dyDescent="0.2">
      <c r="A922">
        <v>83</v>
      </c>
      <c r="B922">
        <f t="shared" si="50"/>
        <v>830</v>
      </c>
      <c r="C922">
        <v>2.5000000000000001E-2</v>
      </c>
      <c r="D922" s="2">
        <f t="shared" si="51"/>
        <v>202.34116666666668</v>
      </c>
    </row>
    <row r="923" spans="1:4" x14ac:dyDescent="0.2">
      <c r="A923">
        <v>84</v>
      </c>
      <c r="B923">
        <f t="shared" si="50"/>
        <v>840</v>
      </c>
      <c r="C923">
        <v>2.3E-2</v>
      </c>
      <c r="D923" s="2">
        <f t="shared" si="51"/>
        <v>202.33916666666667</v>
      </c>
    </row>
    <row r="924" spans="1:4" x14ac:dyDescent="0.2">
      <c r="A924">
        <v>85</v>
      </c>
      <c r="B924">
        <f t="shared" ref="B924:B931" si="52">A924*10</f>
        <v>850</v>
      </c>
      <c r="C924">
        <v>2.5000000000000001E-2</v>
      </c>
      <c r="D924" s="2">
        <f t="shared" ref="D924:D931" si="53">C924+((-0.7286*$C$15)+227.21)</f>
        <v>202.34116666666668</v>
      </c>
    </row>
    <row r="925" spans="1:4" x14ac:dyDescent="0.2">
      <c r="A925">
        <v>86</v>
      </c>
      <c r="B925">
        <f t="shared" si="52"/>
        <v>860</v>
      </c>
      <c r="C925">
        <v>2.4E-2</v>
      </c>
      <c r="D925" s="2">
        <f t="shared" si="53"/>
        <v>202.34016666666668</v>
      </c>
    </row>
    <row r="926" spans="1:4" x14ac:dyDescent="0.2">
      <c r="A926">
        <v>87</v>
      </c>
      <c r="B926">
        <f t="shared" si="52"/>
        <v>870</v>
      </c>
      <c r="C926">
        <v>2.1000000000000001E-2</v>
      </c>
      <c r="D926" s="2">
        <f t="shared" si="53"/>
        <v>202.33716666666666</v>
      </c>
    </row>
    <row r="927" spans="1:4" x14ac:dyDescent="0.2">
      <c r="A927">
        <v>88</v>
      </c>
      <c r="B927">
        <f t="shared" si="52"/>
        <v>880</v>
      </c>
      <c r="C927">
        <v>1.9E-2</v>
      </c>
      <c r="D927" s="2">
        <f t="shared" si="53"/>
        <v>202.33516666666668</v>
      </c>
    </row>
    <row r="928" spans="1:4" x14ac:dyDescent="0.2">
      <c r="A928">
        <v>89</v>
      </c>
      <c r="B928">
        <f t="shared" si="52"/>
        <v>890</v>
      </c>
      <c r="C928">
        <v>0.02</v>
      </c>
      <c r="D928" s="2">
        <f t="shared" si="53"/>
        <v>202.33616666666668</v>
      </c>
    </row>
    <row r="929" spans="1:10" x14ac:dyDescent="0.2">
      <c r="A929">
        <v>90</v>
      </c>
      <c r="B929">
        <f t="shared" si="52"/>
        <v>900</v>
      </c>
      <c r="C929">
        <v>2.1000000000000001E-2</v>
      </c>
      <c r="D929" s="2">
        <f t="shared" si="53"/>
        <v>202.33716666666666</v>
      </c>
    </row>
    <row r="930" spans="1:10" x14ac:dyDescent="0.2">
      <c r="A930">
        <v>91</v>
      </c>
      <c r="B930">
        <f t="shared" si="52"/>
        <v>910</v>
      </c>
      <c r="C930">
        <v>2.1000000000000001E-2</v>
      </c>
      <c r="D930" s="2">
        <f t="shared" si="53"/>
        <v>202.33716666666666</v>
      </c>
    </row>
    <row r="931" spans="1:10" x14ac:dyDescent="0.2">
      <c r="A931">
        <v>92</v>
      </c>
      <c r="B931">
        <f t="shared" si="52"/>
        <v>920</v>
      </c>
      <c r="C931">
        <v>2.1999999999999999E-2</v>
      </c>
      <c r="D931" s="2">
        <f t="shared" si="53"/>
        <v>202.33816666666667</v>
      </c>
    </row>
    <row r="933" spans="1:10" x14ac:dyDescent="0.2">
      <c r="A933" t="s">
        <v>31</v>
      </c>
    </row>
    <row r="934" spans="1:10" x14ac:dyDescent="0.2">
      <c r="A934" t="s">
        <v>9</v>
      </c>
      <c r="B934" t="s">
        <v>10</v>
      </c>
      <c r="C934" t="s">
        <v>11</v>
      </c>
      <c r="D934" t="s">
        <v>12</v>
      </c>
      <c r="E934" t="s">
        <v>14</v>
      </c>
      <c r="F934" t="s">
        <v>13</v>
      </c>
      <c r="G934" t="s">
        <v>18</v>
      </c>
      <c r="H934" t="s">
        <v>5</v>
      </c>
      <c r="I934" t="s">
        <v>23</v>
      </c>
      <c r="J934" t="s">
        <v>24</v>
      </c>
    </row>
    <row r="935" spans="1:10" x14ac:dyDescent="0.2">
      <c r="A935">
        <v>20</v>
      </c>
      <c r="B935">
        <f>A935*10</f>
        <v>200</v>
      </c>
      <c r="C935">
        <v>0.29389223839223905</v>
      </c>
      <c r="D935" s="2">
        <f>C935+((-0.7286*$C$16)+227.21)</f>
        <v>203.01483668283669</v>
      </c>
      <c r="E935" s="2">
        <f>AVERAGE(C935:C1007)</f>
        <v>0.44348132978142263</v>
      </c>
      <c r="F935" s="2">
        <f>AVERAGE(D935:D1007)</f>
        <v>203.16442577422595</v>
      </c>
      <c r="G935">
        <f>_xlfn.STDEV.S(D935:D1007)</f>
        <v>0.11935413481852572</v>
      </c>
      <c r="H935">
        <f>(G935/F935)*100</f>
        <v>5.8747556007252205E-2</v>
      </c>
      <c r="I935" s="2">
        <f>MAX(D935:D1007)</f>
        <v>203.3991416031416</v>
      </c>
      <c r="J935" s="2">
        <f>MIN(D935:D1007)</f>
        <v>202.996224395968</v>
      </c>
    </row>
    <row r="936" spans="1:10" x14ac:dyDescent="0.2">
      <c r="A936">
        <v>21</v>
      </c>
      <c r="B936">
        <f t="shared" ref="B936:B999" si="54">A936*10</f>
        <v>210</v>
      </c>
      <c r="C936">
        <v>0.29257790858725702</v>
      </c>
      <c r="D936" s="2">
        <f t="shared" ref="D936:D999" si="55">C936+((-0.7286*$C$16)+227.21)</f>
        <v>203.0135223530317</v>
      </c>
    </row>
    <row r="937" spans="1:10" x14ac:dyDescent="0.2">
      <c r="A937">
        <v>22</v>
      </c>
      <c r="B937">
        <f t="shared" si="54"/>
        <v>220</v>
      </c>
      <c r="C937">
        <v>0.30606652806652801</v>
      </c>
      <c r="D937" s="2">
        <f t="shared" si="55"/>
        <v>203.02701097251099</v>
      </c>
    </row>
    <row r="938" spans="1:10" x14ac:dyDescent="0.2">
      <c r="A938">
        <v>23</v>
      </c>
      <c r="B938">
        <f t="shared" si="54"/>
        <v>230</v>
      </c>
      <c r="C938">
        <v>0.28163866274034299</v>
      </c>
      <c r="D938" s="2">
        <f t="shared" si="55"/>
        <v>203.00258310718479</v>
      </c>
    </row>
    <row r="939" spans="1:10" x14ac:dyDescent="0.2">
      <c r="A939">
        <v>24</v>
      </c>
      <c r="B939">
        <f t="shared" si="54"/>
        <v>240</v>
      </c>
      <c r="C939">
        <v>0.28297037422037397</v>
      </c>
      <c r="D939" s="2">
        <f t="shared" si="55"/>
        <v>203.00391481866484</v>
      </c>
    </row>
    <row r="940" spans="1:10" x14ac:dyDescent="0.2">
      <c r="A940">
        <v>25</v>
      </c>
      <c r="B940">
        <f t="shared" si="54"/>
        <v>250</v>
      </c>
      <c r="C940">
        <v>0.29839837257617702</v>
      </c>
      <c r="D940" s="2">
        <f t="shared" si="55"/>
        <v>203.01934281702063</v>
      </c>
    </row>
    <row r="941" spans="1:10" x14ac:dyDescent="0.2">
      <c r="A941">
        <v>26</v>
      </c>
      <c r="B941">
        <f t="shared" si="54"/>
        <v>260</v>
      </c>
      <c r="C941">
        <v>0.30038842688842704</v>
      </c>
      <c r="D941" s="2">
        <f t="shared" si="55"/>
        <v>203.02133287133287</v>
      </c>
    </row>
    <row r="942" spans="1:10" x14ac:dyDescent="0.2">
      <c r="A942">
        <v>27</v>
      </c>
      <c r="B942">
        <f t="shared" si="54"/>
        <v>270</v>
      </c>
      <c r="C942">
        <v>0.28465384615384598</v>
      </c>
      <c r="D942" s="2">
        <f t="shared" si="55"/>
        <v>203.0055982905983</v>
      </c>
    </row>
    <row r="943" spans="1:10" x14ac:dyDescent="0.2">
      <c r="A943">
        <v>28</v>
      </c>
      <c r="B943">
        <f t="shared" si="54"/>
        <v>280</v>
      </c>
      <c r="C943">
        <v>0.27527995152354601</v>
      </c>
      <c r="D943" s="2">
        <f t="shared" si="55"/>
        <v>202.996224395968</v>
      </c>
    </row>
    <row r="944" spans="1:10" x14ac:dyDescent="0.2">
      <c r="A944">
        <v>29</v>
      </c>
      <c r="B944">
        <f t="shared" si="54"/>
        <v>290</v>
      </c>
      <c r="C944">
        <v>0.29987751212751201</v>
      </c>
      <c r="D944" s="2">
        <f t="shared" si="55"/>
        <v>203.02082195657198</v>
      </c>
    </row>
    <row r="945" spans="1:4" x14ac:dyDescent="0.2">
      <c r="A945">
        <v>30</v>
      </c>
      <c r="B945">
        <f t="shared" si="54"/>
        <v>300</v>
      </c>
      <c r="C945">
        <v>0.29353222453222499</v>
      </c>
      <c r="D945" s="2">
        <f t="shared" si="55"/>
        <v>203.01447666897667</v>
      </c>
    </row>
    <row r="946" spans="1:4" x14ac:dyDescent="0.2">
      <c r="A946">
        <v>31</v>
      </c>
      <c r="B946">
        <f t="shared" si="54"/>
        <v>310</v>
      </c>
      <c r="C946">
        <v>0.30634078309078305</v>
      </c>
      <c r="D946" s="2">
        <f t="shared" si="55"/>
        <v>203.02728522753523</v>
      </c>
    </row>
    <row r="947" spans="1:4" x14ac:dyDescent="0.2">
      <c r="A947">
        <v>32</v>
      </c>
      <c r="B947">
        <f t="shared" si="54"/>
        <v>320</v>
      </c>
      <c r="C947">
        <v>0.30718455678670398</v>
      </c>
      <c r="D947" s="2">
        <f t="shared" si="55"/>
        <v>203.02812900123115</v>
      </c>
    </row>
    <row r="948" spans="1:4" x14ac:dyDescent="0.2">
      <c r="A948">
        <v>33</v>
      </c>
      <c r="B948">
        <f t="shared" si="54"/>
        <v>330</v>
      </c>
      <c r="C948">
        <v>0.31774584199584199</v>
      </c>
      <c r="D948" s="2">
        <f t="shared" si="55"/>
        <v>203.0386902864403</v>
      </c>
    </row>
    <row r="949" spans="1:4" x14ac:dyDescent="0.2">
      <c r="A949">
        <v>34</v>
      </c>
      <c r="B949">
        <f t="shared" si="54"/>
        <v>340</v>
      </c>
      <c r="C949">
        <v>0.31997487872487901</v>
      </c>
      <c r="D949" s="2">
        <f t="shared" si="55"/>
        <v>203.04091932316933</v>
      </c>
    </row>
    <row r="950" spans="1:4" x14ac:dyDescent="0.2">
      <c r="A950">
        <v>35</v>
      </c>
      <c r="B950">
        <f t="shared" si="54"/>
        <v>350</v>
      </c>
      <c r="C950">
        <v>0.32902268005540203</v>
      </c>
      <c r="D950" s="2">
        <f t="shared" si="55"/>
        <v>203.04996712449986</v>
      </c>
    </row>
    <row r="951" spans="1:4" x14ac:dyDescent="0.2">
      <c r="A951">
        <v>36</v>
      </c>
      <c r="B951">
        <f t="shared" si="54"/>
        <v>360</v>
      </c>
      <c r="C951">
        <v>0.33643503118503099</v>
      </c>
      <c r="D951" s="2">
        <f t="shared" si="55"/>
        <v>203.05737947562949</v>
      </c>
    </row>
    <row r="952" spans="1:4" x14ac:dyDescent="0.2">
      <c r="A952">
        <v>37</v>
      </c>
      <c r="B952">
        <f t="shared" si="54"/>
        <v>370</v>
      </c>
      <c r="C952">
        <v>0.334138253638254</v>
      </c>
      <c r="D952" s="2">
        <f t="shared" si="55"/>
        <v>203.05508269808271</v>
      </c>
    </row>
    <row r="953" spans="1:4" x14ac:dyDescent="0.2">
      <c r="A953">
        <v>38</v>
      </c>
      <c r="B953">
        <f t="shared" si="54"/>
        <v>380</v>
      </c>
      <c r="C953">
        <v>0.341351697851698</v>
      </c>
      <c r="D953" s="2">
        <f t="shared" si="55"/>
        <v>203.06229614229616</v>
      </c>
    </row>
    <row r="954" spans="1:4" x14ac:dyDescent="0.2">
      <c r="A954">
        <v>39</v>
      </c>
      <c r="B954">
        <f t="shared" si="54"/>
        <v>390</v>
      </c>
      <c r="C954">
        <v>0.35024117036011099</v>
      </c>
      <c r="D954" s="2">
        <f t="shared" si="55"/>
        <v>203.07118561480456</v>
      </c>
    </row>
    <row r="955" spans="1:4" x14ac:dyDescent="0.2">
      <c r="A955">
        <v>40</v>
      </c>
      <c r="B955">
        <f t="shared" si="54"/>
        <v>400</v>
      </c>
      <c r="C955">
        <v>0.34948423423423403</v>
      </c>
      <c r="D955" s="2">
        <f t="shared" si="55"/>
        <v>203.0704286786787</v>
      </c>
    </row>
    <row r="956" spans="1:4" x14ac:dyDescent="0.2">
      <c r="A956">
        <v>41</v>
      </c>
      <c r="B956">
        <f t="shared" si="54"/>
        <v>410</v>
      </c>
      <c r="C956">
        <v>0.34786209286209302</v>
      </c>
      <c r="D956" s="2">
        <f t="shared" si="55"/>
        <v>203.06880653730656</v>
      </c>
    </row>
    <row r="957" spans="1:4" x14ac:dyDescent="0.2">
      <c r="A957">
        <v>42</v>
      </c>
      <c r="B957">
        <f t="shared" si="54"/>
        <v>420</v>
      </c>
      <c r="C957">
        <v>0.36743334487534601</v>
      </c>
      <c r="D957" s="2">
        <f t="shared" si="55"/>
        <v>203.08837778931979</v>
      </c>
    </row>
    <row r="958" spans="1:4" x14ac:dyDescent="0.2">
      <c r="A958">
        <v>43</v>
      </c>
      <c r="B958">
        <f t="shared" si="54"/>
        <v>430</v>
      </c>
      <c r="C958">
        <v>0.37400675675675699</v>
      </c>
      <c r="D958" s="2">
        <f t="shared" si="55"/>
        <v>203.09495120120121</v>
      </c>
    </row>
    <row r="959" spans="1:4" x14ac:dyDescent="0.2">
      <c r="A959">
        <v>44</v>
      </c>
      <c r="B959">
        <f t="shared" si="54"/>
        <v>440</v>
      </c>
      <c r="C959">
        <v>0.36552044352044299</v>
      </c>
      <c r="D959" s="2">
        <f t="shared" si="55"/>
        <v>203.08646488796489</v>
      </c>
    </row>
    <row r="960" spans="1:4" x14ac:dyDescent="0.2">
      <c r="A960">
        <v>45</v>
      </c>
      <c r="B960">
        <f t="shared" si="54"/>
        <v>450</v>
      </c>
      <c r="C960">
        <v>0.36821483021482998</v>
      </c>
      <c r="D960" s="2">
        <f t="shared" si="55"/>
        <v>203.08915927465929</v>
      </c>
    </row>
    <row r="961" spans="1:4" x14ac:dyDescent="0.2">
      <c r="A961">
        <v>46</v>
      </c>
      <c r="B961">
        <f t="shared" si="54"/>
        <v>460</v>
      </c>
      <c r="C961">
        <v>0.37330193905817205</v>
      </c>
      <c r="D961" s="2">
        <f t="shared" si="55"/>
        <v>203.09424638350262</v>
      </c>
    </row>
    <row r="962" spans="1:4" x14ac:dyDescent="0.2">
      <c r="A962">
        <v>47</v>
      </c>
      <c r="B962">
        <f t="shared" si="54"/>
        <v>470</v>
      </c>
      <c r="C962">
        <v>0.38232449757449799</v>
      </c>
      <c r="D962" s="2">
        <f t="shared" si="55"/>
        <v>203.10326894201896</v>
      </c>
    </row>
    <row r="963" spans="1:4" x14ac:dyDescent="0.2">
      <c r="A963">
        <v>48</v>
      </c>
      <c r="B963">
        <f t="shared" si="54"/>
        <v>480</v>
      </c>
      <c r="C963">
        <v>0.38650433125433103</v>
      </c>
      <c r="D963" s="2">
        <f t="shared" si="55"/>
        <v>203.1074487756988</v>
      </c>
    </row>
    <row r="964" spans="1:4" x14ac:dyDescent="0.2">
      <c r="A964">
        <v>49</v>
      </c>
      <c r="B964">
        <f t="shared" si="54"/>
        <v>490</v>
      </c>
      <c r="C964">
        <v>0.38843195983379503</v>
      </c>
      <c r="D964" s="2">
        <f t="shared" si="55"/>
        <v>203.10937640427824</v>
      </c>
    </row>
    <row r="965" spans="1:4" x14ac:dyDescent="0.2">
      <c r="A965">
        <v>50</v>
      </c>
      <c r="B965">
        <f t="shared" si="54"/>
        <v>500</v>
      </c>
      <c r="C965">
        <v>0.37035654885654901</v>
      </c>
      <c r="D965" s="2">
        <f t="shared" si="55"/>
        <v>203.09130099330102</v>
      </c>
    </row>
    <row r="966" spans="1:4" x14ac:dyDescent="0.2">
      <c r="A966">
        <v>51</v>
      </c>
      <c r="B966">
        <f t="shared" si="54"/>
        <v>510</v>
      </c>
      <c r="C966">
        <v>0.39519126819126799</v>
      </c>
      <c r="D966" s="2">
        <f t="shared" si="55"/>
        <v>203.11613571263572</v>
      </c>
    </row>
    <row r="967" spans="1:4" x14ac:dyDescent="0.2">
      <c r="A967">
        <v>52</v>
      </c>
      <c r="B967">
        <f t="shared" si="54"/>
        <v>520</v>
      </c>
      <c r="C967">
        <v>0.39956390717007301</v>
      </c>
      <c r="D967" s="2">
        <f t="shared" si="55"/>
        <v>203.12050835161452</v>
      </c>
    </row>
    <row r="968" spans="1:4" x14ac:dyDescent="0.2">
      <c r="A968">
        <v>53</v>
      </c>
      <c r="B968">
        <f t="shared" si="54"/>
        <v>530</v>
      </c>
      <c r="C968">
        <v>0.41988950467613401</v>
      </c>
      <c r="D968" s="2">
        <f t="shared" si="55"/>
        <v>203.14083394912058</v>
      </c>
    </row>
    <row r="969" spans="1:4" x14ac:dyDescent="0.2">
      <c r="A969">
        <v>54</v>
      </c>
      <c r="B969">
        <f t="shared" si="54"/>
        <v>540</v>
      </c>
      <c r="C969">
        <v>0.42551143451143397</v>
      </c>
      <c r="D969" s="2">
        <f t="shared" si="55"/>
        <v>203.14645587895589</v>
      </c>
    </row>
    <row r="970" spans="1:4" x14ac:dyDescent="0.2">
      <c r="A970">
        <v>55</v>
      </c>
      <c r="B970">
        <f t="shared" si="54"/>
        <v>550</v>
      </c>
      <c r="C970">
        <v>0.42893762993763002</v>
      </c>
      <c r="D970" s="2">
        <f t="shared" si="55"/>
        <v>203.14988207438208</v>
      </c>
    </row>
    <row r="971" spans="1:4" x14ac:dyDescent="0.2">
      <c r="A971">
        <v>56</v>
      </c>
      <c r="B971">
        <f t="shared" si="54"/>
        <v>560</v>
      </c>
      <c r="C971">
        <v>0.43217832409972301</v>
      </c>
      <c r="D971" s="2">
        <f t="shared" si="55"/>
        <v>203.15312276854416</v>
      </c>
    </row>
    <row r="972" spans="1:4" x14ac:dyDescent="0.2">
      <c r="A972">
        <v>57</v>
      </c>
      <c r="B972">
        <f t="shared" si="54"/>
        <v>570</v>
      </c>
      <c r="C972">
        <v>0.43697470547470496</v>
      </c>
      <c r="D972" s="2">
        <f t="shared" si="55"/>
        <v>203.15791914991917</v>
      </c>
    </row>
    <row r="973" spans="1:4" x14ac:dyDescent="0.2">
      <c r="A973">
        <v>58</v>
      </c>
      <c r="B973">
        <f t="shared" si="54"/>
        <v>580</v>
      </c>
      <c r="C973">
        <v>0.442850138600139</v>
      </c>
      <c r="D973" s="2">
        <f t="shared" si="55"/>
        <v>203.16379458304459</v>
      </c>
    </row>
    <row r="974" spans="1:4" x14ac:dyDescent="0.2">
      <c r="A974">
        <v>59</v>
      </c>
      <c r="B974">
        <f t="shared" si="54"/>
        <v>590</v>
      </c>
      <c r="C974">
        <v>0.442408587257618</v>
      </c>
      <c r="D974" s="2">
        <f t="shared" si="55"/>
        <v>203.16335303170209</v>
      </c>
    </row>
    <row r="975" spans="1:4" x14ac:dyDescent="0.2">
      <c r="A975">
        <v>60</v>
      </c>
      <c r="B975">
        <f t="shared" si="54"/>
        <v>600</v>
      </c>
      <c r="C975">
        <v>0.45079504504504497</v>
      </c>
      <c r="D975" s="2">
        <f t="shared" si="55"/>
        <v>203.17173948948951</v>
      </c>
    </row>
    <row r="976" spans="1:4" x14ac:dyDescent="0.2">
      <c r="A976">
        <v>61</v>
      </c>
      <c r="B976">
        <f t="shared" si="54"/>
        <v>610</v>
      </c>
      <c r="C976">
        <v>0.45662993762993798</v>
      </c>
      <c r="D976" s="2">
        <f t="shared" si="55"/>
        <v>203.1775743820744</v>
      </c>
    </row>
    <row r="977" spans="1:4" x14ac:dyDescent="0.2">
      <c r="A977">
        <v>62</v>
      </c>
      <c r="B977">
        <f t="shared" si="54"/>
        <v>620</v>
      </c>
      <c r="C977">
        <v>0.45964795564795596</v>
      </c>
      <c r="D977" s="2">
        <f t="shared" si="55"/>
        <v>203.18059240009242</v>
      </c>
    </row>
    <row r="978" spans="1:4" x14ac:dyDescent="0.2">
      <c r="A978">
        <v>63</v>
      </c>
      <c r="B978">
        <f t="shared" si="54"/>
        <v>630</v>
      </c>
      <c r="C978">
        <v>0.47787257617728496</v>
      </c>
      <c r="D978" s="2">
        <f t="shared" si="55"/>
        <v>203.19881702062173</v>
      </c>
    </row>
    <row r="979" spans="1:4" x14ac:dyDescent="0.2">
      <c r="A979">
        <v>64</v>
      </c>
      <c r="B979">
        <f t="shared" si="54"/>
        <v>640</v>
      </c>
      <c r="C979">
        <v>0.48240713790713796</v>
      </c>
      <c r="D979" s="2">
        <f t="shared" si="55"/>
        <v>203.20335158235159</v>
      </c>
    </row>
    <row r="980" spans="1:4" x14ac:dyDescent="0.2">
      <c r="A980">
        <v>65</v>
      </c>
      <c r="B980">
        <f t="shared" si="54"/>
        <v>650</v>
      </c>
      <c r="C980">
        <v>0.48494248094248105</v>
      </c>
      <c r="D980" s="2">
        <f t="shared" si="55"/>
        <v>203.20588692538695</v>
      </c>
    </row>
    <row r="981" spans="1:4" x14ac:dyDescent="0.2">
      <c r="A981">
        <v>66</v>
      </c>
      <c r="B981">
        <f t="shared" si="54"/>
        <v>660</v>
      </c>
      <c r="C981">
        <v>0.49020792936288105</v>
      </c>
      <c r="D981" s="2">
        <f t="shared" si="55"/>
        <v>203.21115237380732</v>
      </c>
    </row>
    <row r="982" spans="1:4" x14ac:dyDescent="0.2">
      <c r="A982">
        <v>67</v>
      </c>
      <c r="B982">
        <f t="shared" si="54"/>
        <v>670</v>
      </c>
      <c r="C982">
        <v>0.486852564102564</v>
      </c>
      <c r="D982" s="2">
        <f t="shared" si="55"/>
        <v>203.20779700854703</v>
      </c>
    </row>
    <row r="983" spans="1:4" x14ac:dyDescent="0.2">
      <c r="A983">
        <v>68</v>
      </c>
      <c r="B983">
        <f t="shared" si="54"/>
        <v>680</v>
      </c>
      <c r="C983">
        <v>0.49897609147609207</v>
      </c>
      <c r="D983" s="2">
        <f t="shared" si="55"/>
        <v>203.21992053592055</v>
      </c>
    </row>
    <row r="984" spans="1:4" x14ac:dyDescent="0.2">
      <c r="A984">
        <v>69</v>
      </c>
      <c r="B984">
        <f t="shared" si="54"/>
        <v>690</v>
      </c>
      <c r="C984">
        <v>0.50371015246015205</v>
      </c>
      <c r="D984" s="2">
        <f t="shared" si="55"/>
        <v>203.2246545969046</v>
      </c>
    </row>
    <row r="985" spans="1:4" x14ac:dyDescent="0.2">
      <c r="A985">
        <v>70</v>
      </c>
      <c r="B985">
        <f t="shared" si="54"/>
        <v>700</v>
      </c>
      <c r="C985">
        <v>0.50497905124653697</v>
      </c>
      <c r="D985" s="2">
        <f t="shared" si="55"/>
        <v>203.22592349569101</v>
      </c>
    </row>
    <row r="986" spans="1:4" x14ac:dyDescent="0.2">
      <c r="A986">
        <v>71</v>
      </c>
      <c r="B986">
        <f t="shared" si="54"/>
        <v>710</v>
      </c>
      <c r="C986">
        <v>0.509692307692308</v>
      </c>
      <c r="D986" s="2">
        <f t="shared" si="55"/>
        <v>203.23063675213677</v>
      </c>
    </row>
    <row r="987" spans="1:4" x14ac:dyDescent="0.2">
      <c r="A987">
        <v>72</v>
      </c>
      <c r="B987">
        <f t="shared" si="54"/>
        <v>720</v>
      </c>
      <c r="C987">
        <v>0.5201483021483021</v>
      </c>
      <c r="D987" s="2">
        <f t="shared" si="55"/>
        <v>203.24109274659276</v>
      </c>
    </row>
    <row r="988" spans="1:4" x14ac:dyDescent="0.2">
      <c r="A988">
        <v>73</v>
      </c>
      <c r="B988">
        <f t="shared" si="54"/>
        <v>730</v>
      </c>
      <c r="C988">
        <v>0.51914525623268704</v>
      </c>
      <c r="D988" s="2">
        <f t="shared" si="55"/>
        <v>203.24008970067715</v>
      </c>
    </row>
    <row r="989" spans="1:4" x14ac:dyDescent="0.2">
      <c r="A989">
        <v>74</v>
      </c>
      <c r="B989">
        <f t="shared" si="54"/>
        <v>740</v>
      </c>
      <c r="C989">
        <v>0.52606930006929997</v>
      </c>
      <c r="D989" s="2">
        <f t="shared" si="55"/>
        <v>203.24701374451377</v>
      </c>
    </row>
    <row r="990" spans="1:4" x14ac:dyDescent="0.2">
      <c r="A990">
        <v>75</v>
      </c>
      <c r="B990">
        <f t="shared" si="54"/>
        <v>750</v>
      </c>
      <c r="C990">
        <v>0.54330630630630594</v>
      </c>
      <c r="D990" s="2">
        <f t="shared" si="55"/>
        <v>203.26425075075076</v>
      </c>
    </row>
    <row r="991" spans="1:4" x14ac:dyDescent="0.2">
      <c r="A991">
        <v>76</v>
      </c>
      <c r="B991">
        <f t="shared" si="54"/>
        <v>760</v>
      </c>
      <c r="C991">
        <v>0.54889379764379798</v>
      </c>
      <c r="D991" s="2">
        <f t="shared" si="55"/>
        <v>203.26983824208824</v>
      </c>
    </row>
    <row r="992" spans="1:4" x14ac:dyDescent="0.2">
      <c r="A992">
        <v>77</v>
      </c>
      <c r="B992">
        <f t="shared" si="54"/>
        <v>770</v>
      </c>
      <c r="C992">
        <v>0.54748286011080294</v>
      </c>
      <c r="D992" s="2">
        <f t="shared" si="55"/>
        <v>203.26842730455525</v>
      </c>
    </row>
    <row r="993" spans="1:4" x14ac:dyDescent="0.2">
      <c r="A993">
        <v>78</v>
      </c>
      <c r="B993">
        <f t="shared" si="54"/>
        <v>780</v>
      </c>
      <c r="C993">
        <v>0.55198510048509997</v>
      </c>
      <c r="D993" s="2">
        <f t="shared" si="55"/>
        <v>203.27292954492955</v>
      </c>
    </row>
    <row r="994" spans="1:4" x14ac:dyDescent="0.2">
      <c r="A994">
        <v>79</v>
      </c>
      <c r="B994">
        <f t="shared" si="54"/>
        <v>790</v>
      </c>
      <c r="C994">
        <v>0.56061770310064096</v>
      </c>
      <c r="D994" s="2">
        <f t="shared" si="55"/>
        <v>203.28156214754509</v>
      </c>
    </row>
    <row r="995" spans="1:4" x14ac:dyDescent="0.2">
      <c r="A995">
        <v>80</v>
      </c>
      <c r="B995">
        <f t="shared" si="54"/>
        <v>800</v>
      </c>
      <c r="C995">
        <v>0.56527631578947402</v>
      </c>
      <c r="D995" s="2">
        <f t="shared" si="55"/>
        <v>203.28622076023393</v>
      </c>
    </row>
    <row r="996" spans="1:4" x14ac:dyDescent="0.2">
      <c r="A996">
        <v>81</v>
      </c>
      <c r="B996">
        <f t="shared" si="54"/>
        <v>810</v>
      </c>
      <c r="C996">
        <v>0.56383905058905093</v>
      </c>
      <c r="D996" s="2">
        <f t="shared" si="55"/>
        <v>203.28478349503351</v>
      </c>
    </row>
    <row r="997" spans="1:4" x14ac:dyDescent="0.2">
      <c r="A997">
        <v>82</v>
      </c>
      <c r="B997">
        <f t="shared" si="54"/>
        <v>820</v>
      </c>
      <c r="C997">
        <v>0.56667862092862098</v>
      </c>
      <c r="D997" s="2">
        <f t="shared" si="55"/>
        <v>203.28762306537308</v>
      </c>
    </row>
    <row r="998" spans="1:4" x14ac:dyDescent="0.2">
      <c r="A998">
        <v>83</v>
      </c>
      <c r="B998">
        <f t="shared" si="54"/>
        <v>830</v>
      </c>
      <c r="C998">
        <v>0.57809494109494108</v>
      </c>
      <c r="D998" s="2">
        <f t="shared" si="55"/>
        <v>203.2990393855394</v>
      </c>
    </row>
    <row r="999" spans="1:4" x14ac:dyDescent="0.2">
      <c r="A999">
        <v>84</v>
      </c>
      <c r="B999">
        <f t="shared" si="54"/>
        <v>840</v>
      </c>
      <c r="C999">
        <v>0.62278445290858697</v>
      </c>
      <c r="D999" s="2">
        <f t="shared" si="55"/>
        <v>203.34372889735303</v>
      </c>
    </row>
    <row r="1000" spans="1:4" x14ac:dyDescent="0.2">
      <c r="A1000">
        <v>85</v>
      </c>
      <c r="B1000">
        <f t="shared" ref="B1000:B1007" si="56">A1000*10</f>
        <v>850</v>
      </c>
      <c r="C1000">
        <v>0.64054365904365895</v>
      </c>
      <c r="D1000" s="2">
        <f t="shared" ref="D1000:D1007" si="57">C1000+((-0.7286*$C$16)+227.21)</f>
        <v>203.36148810348811</v>
      </c>
    </row>
    <row r="1001" spans="1:4" x14ac:dyDescent="0.2">
      <c r="A1001">
        <v>86</v>
      </c>
      <c r="B1001">
        <f t="shared" si="56"/>
        <v>860</v>
      </c>
      <c r="C1001">
        <v>0.65077113652113605</v>
      </c>
      <c r="D1001" s="2">
        <f t="shared" si="57"/>
        <v>203.3717155809656</v>
      </c>
    </row>
    <row r="1002" spans="1:4" x14ac:dyDescent="0.2">
      <c r="A1002">
        <v>87</v>
      </c>
      <c r="B1002">
        <f t="shared" si="56"/>
        <v>870</v>
      </c>
      <c r="C1002">
        <v>0.65498182132964</v>
      </c>
      <c r="D1002" s="2">
        <f t="shared" si="57"/>
        <v>203.3759262657741</v>
      </c>
    </row>
    <row r="1003" spans="1:4" x14ac:dyDescent="0.2">
      <c r="A1003">
        <v>88</v>
      </c>
      <c r="B1003">
        <f t="shared" si="56"/>
        <v>880</v>
      </c>
      <c r="C1003">
        <v>0.66659164934164905</v>
      </c>
      <c r="D1003" s="2">
        <f t="shared" si="57"/>
        <v>203.38753609378611</v>
      </c>
    </row>
    <row r="1004" spans="1:4" x14ac:dyDescent="0.2">
      <c r="A1004">
        <v>89</v>
      </c>
      <c r="B1004">
        <f t="shared" si="56"/>
        <v>890</v>
      </c>
      <c r="C1004">
        <v>0.66780855855855903</v>
      </c>
      <c r="D1004" s="2">
        <f t="shared" si="57"/>
        <v>203.38875300300302</v>
      </c>
    </row>
    <row r="1005" spans="1:4" x14ac:dyDescent="0.2">
      <c r="A1005">
        <v>90</v>
      </c>
      <c r="B1005">
        <f t="shared" si="56"/>
        <v>900</v>
      </c>
      <c r="C1005">
        <v>0.67819715869715902</v>
      </c>
      <c r="D1005" s="2">
        <f t="shared" si="57"/>
        <v>203.3991416031416</v>
      </c>
    </row>
    <row r="1006" spans="1:4" x14ac:dyDescent="0.2">
      <c r="A1006">
        <v>91</v>
      </c>
      <c r="B1006">
        <f t="shared" si="56"/>
        <v>910</v>
      </c>
      <c r="C1006">
        <v>0.67322229916897502</v>
      </c>
      <c r="D1006" s="2">
        <f t="shared" si="57"/>
        <v>203.39416674361343</v>
      </c>
    </row>
    <row r="1007" spans="1:4" x14ac:dyDescent="0.2">
      <c r="A1007">
        <v>92</v>
      </c>
      <c r="B1007">
        <f t="shared" si="56"/>
        <v>920</v>
      </c>
      <c r="C1007">
        <v>0.672328135828136</v>
      </c>
      <c r="D1007" s="2">
        <f t="shared" si="57"/>
        <v>203.39327258027259</v>
      </c>
    </row>
  </sheetData>
  <hyperlinks>
    <hyperlink ref="J37" r:id="rId1" xr:uid="{64D41D62-923D-634E-BD99-57E4D6E965C1}"/>
  </hyperlinks>
  <pageMargins left="0.7" right="0.7" top="0.75" bottom="0.75" header="0.3" footer="0.3"/>
  <pageSetup orientation="portrait" r:id="rId2"/>
  <drawing r:id="rId3"/>
  <legacyDrawing r:id="rId4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86ED-3F98-1541-8A12-978DDE4EE6B3}">
  <dimension ref="F3:H13"/>
  <sheetViews>
    <sheetView workbookViewId="0">
      <selection activeCell="E42" sqref="E42"/>
    </sheetView>
  </sheetViews>
  <sheetFormatPr baseColWidth="10" defaultRowHeight="15" x14ac:dyDescent="0.2"/>
  <sheetData>
    <row r="3" spans="6:8" x14ac:dyDescent="0.2">
      <c r="F3" t="s">
        <v>50</v>
      </c>
      <c r="G3" t="s">
        <v>51</v>
      </c>
      <c r="H3" t="s">
        <v>52</v>
      </c>
    </row>
    <row r="4" spans="6:8" x14ac:dyDescent="0.2">
      <c r="F4">
        <v>25</v>
      </c>
      <c r="G4">
        <f>F4/16.903</f>
        <v>1.4790273915872922</v>
      </c>
      <c r="H4">
        <f>G4*1000</f>
        <v>1479.0273915872922</v>
      </c>
    </row>
    <row r="5" spans="6:8" x14ac:dyDescent="0.2">
      <c r="F5">
        <f>F4-5</f>
        <v>20</v>
      </c>
      <c r="G5">
        <f t="shared" ref="G5:G13" si="0">F5/16.903</f>
        <v>1.1832219132698338</v>
      </c>
      <c r="H5">
        <f t="shared" ref="H5:H13" si="1">G5*1000</f>
        <v>1183.2219132698337</v>
      </c>
    </row>
    <row r="6" spans="6:8" x14ac:dyDescent="0.2">
      <c r="F6">
        <f t="shared" ref="F6:F13" si="2">F5-5</f>
        <v>15</v>
      </c>
      <c r="G6">
        <f t="shared" si="0"/>
        <v>0.88741643495237543</v>
      </c>
      <c r="H6">
        <f t="shared" si="1"/>
        <v>887.41643495237543</v>
      </c>
    </row>
    <row r="7" spans="6:8" x14ac:dyDescent="0.2">
      <c r="F7">
        <f t="shared" si="2"/>
        <v>10</v>
      </c>
      <c r="G7">
        <f t="shared" si="0"/>
        <v>0.59161095663491692</v>
      </c>
      <c r="H7">
        <f t="shared" si="1"/>
        <v>591.61095663491687</v>
      </c>
    </row>
    <row r="8" spans="6:8" x14ac:dyDescent="0.2">
      <c r="F8">
        <f t="shared" si="2"/>
        <v>5</v>
      </c>
      <c r="G8">
        <f t="shared" si="0"/>
        <v>0.29580547831745846</v>
      </c>
      <c r="H8">
        <f t="shared" si="1"/>
        <v>295.80547831745844</v>
      </c>
    </row>
    <row r="9" spans="6:8" x14ac:dyDescent="0.2">
      <c r="F9">
        <f t="shared" si="2"/>
        <v>0</v>
      </c>
      <c r="G9">
        <f t="shared" si="0"/>
        <v>0</v>
      </c>
      <c r="H9">
        <f t="shared" si="1"/>
        <v>0</v>
      </c>
    </row>
    <row r="10" spans="6:8" x14ac:dyDescent="0.2">
      <c r="F10">
        <f t="shared" si="2"/>
        <v>-5</v>
      </c>
      <c r="G10">
        <f t="shared" si="0"/>
        <v>-0.29580547831745846</v>
      </c>
      <c r="H10">
        <f t="shared" si="1"/>
        <v>-295.80547831745844</v>
      </c>
    </row>
    <row r="11" spans="6:8" x14ac:dyDescent="0.2">
      <c r="F11">
        <f t="shared" si="2"/>
        <v>-10</v>
      </c>
      <c r="G11">
        <f t="shared" si="0"/>
        <v>-0.59161095663491692</v>
      </c>
      <c r="H11">
        <f t="shared" si="1"/>
        <v>-591.61095663491687</v>
      </c>
    </row>
    <row r="12" spans="6:8" x14ac:dyDescent="0.2">
      <c r="F12">
        <f t="shared" si="2"/>
        <v>-15</v>
      </c>
      <c r="G12">
        <f t="shared" si="0"/>
        <v>-0.88741643495237543</v>
      </c>
      <c r="H12">
        <f t="shared" si="1"/>
        <v>-887.41643495237543</v>
      </c>
    </row>
    <row r="13" spans="6:8" x14ac:dyDescent="0.2">
      <c r="F13">
        <f t="shared" si="2"/>
        <v>-20</v>
      </c>
      <c r="G13">
        <f t="shared" si="0"/>
        <v>-1.1832219132698338</v>
      </c>
      <c r="H13">
        <f t="shared" si="1"/>
        <v>-1183.2219132698337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E9A2-2443-4F35-AA4E-CE98B7EEA582}">
  <dimension ref="A1:N67"/>
  <sheetViews>
    <sheetView zoomScale="70" zoomScaleNormal="70" workbookViewId="0">
      <selection activeCell="E52" sqref="E52:E64"/>
    </sheetView>
  </sheetViews>
  <sheetFormatPr baseColWidth="10" defaultColWidth="11.6640625" defaultRowHeight="15" x14ac:dyDescent="0.2"/>
  <cols>
    <col min="3" max="3" width="15.6640625" customWidth="1"/>
    <col min="4" max="4" width="13.6640625" customWidth="1"/>
    <col min="5" max="5" width="18.5" customWidth="1"/>
    <col min="6" max="6" width="12.83203125" customWidth="1"/>
    <col min="11" max="11" width="15.6640625" customWidth="1"/>
    <col min="12" max="12" width="14.33203125" customWidth="1"/>
    <col min="13" max="13" width="18.33203125" customWidth="1"/>
  </cols>
  <sheetData>
    <row r="1" spans="1:6" x14ac:dyDescent="0.2">
      <c r="A1" t="s">
        <v>32</v>
      </c>
    </row>
    <row r="2" spans="1:6" x14ac:dyDescent="0.2">
      <c r="A2" t="s">
        <v>33</v>
      </c>
    </row>
    <row r="4" spans="1:6" x14ac:dyDescent="0.2">
      <c r="A4" t="s">
        <v>34</v>
      </c>
      <c r="B4" t="s">
        <v>35</v>
      </c>
      <c r="C4" t="s">
        <v>11</v>
      </c>
      <c r="D4" t="s">
        <v>3</v>
      </c>
      <c r="E4" t="s">
        <v>4</v>
      </c>
      <c r="F4" t="s">
        <v>7</v>
      </c>
    </row>
    <row r="5" spans="1:6" x14ac:dyDescent="0.2">
      <c r="A5" s="6">
        <v>1</v>
      </c>
      <c r="B5" t="s">
        <v>8</v>
      </c>
      <c r="C5" s="7">
        <v>130.59793097084531</v>
      </c>
      <c r="D5" s="2">
        <v>32.222222222222221</v>
      </c>
      <c r="E5" s="2">
        <f>C5-(0.198*(D5-25))+SQRT(49296-(298*D5))</f>
        <v>328.40090459162371</v>
      </c>
      <c r="F5" s="4">
        <v>3237.9897460900002</v>
      </c>
    </row>
    <row r="6" spans="1:6" x14ac:dyDescent="0.2">
      <c r="A6" s="6">
        <v>6</v>
      </c>
      <c r="B6" t="s">
        <v>17</v>
      </c>
      <c r="C6" s="7">
        <v>-246.55333333333337</v>
      </c>
      <c r="D6" s="2">
        <v>33.888888888888886</v>
      </c>
      <c r="E6" s="2">
        <f t="shared" ref="E6:E18" si="0">C6-(0.198*(D6-25))+SQRT(49296-(298*D6))</f>
        <v>-50.33073028167351</v>
      </c>
      <c r="F6" s="4">
        <v>2429.2712402299999</v>
      </c>
    </row>
    <row r="7" spans="1:6" x14ac:dyDescent="0.2">
      <c r="A7" s="6">
        <v>13</v>
      </c>
      <c r="B7" t="s">
        <v>19</v>
      </c>
      <c r="C7" s="7">
        <v>78.168333333333337</v>
      </c>
      <c r="D7" s="2">
        <v>33.888888888888886</v>
      </c>
      <c r="E7" s="2">
        <f t="shared" si="0"/>
        <v>274.39093638499321</v>
      </c>
      <c r="F7" s="4">
        <v>2122.2141113299999</v>
      </c>
    </row>
    <row r="8" spans="1:6" x14ac:dyDescent="0.2">
      <c r="A8" s="6" t="s">
        <v>36</v>
      </c>
      <c r="B8" t="s">
        <v>37</v>
      </c>
      <c r="C8" s="3">
        <v>1.9011666666666667</v>
      </c>
      <c r="D8" s="2">
        <v>32.200000000000003</v>
      </c>
      <c r="E8" s="2">
        <f>C8-(0.198*(D8-25))+SQRT(49296-(298*D8))</f>
        <v>199.72515888707753</v>
      </c>
      <c r="F8" s="4">
        <v>1807.7528076200001</v>
      </c>
    </row>
    <row r="9" spans="1:6" x14ac:dyDescent="0.2">
      <c r="A9" s="6" t="s">
        <v>38</v>
      </c>
      <c r="B9" t="s">
        <v>39</v>
      </c>
      <c r="C9" s="3">
        <v>-5.0000000000000001E-4</v>
      </c>
      <c r="D9" s="2">
        <v>31.666666666666668</v>
      </c>
      <c r="E9" s="2">
        <f t="shared" si="0"/>
        <v>198.32752361489412</v>
      </c>
      <c r="F9" s="4">
        <v>1807.7528076200001</v>
      </c>
    </row>
    <row r="10" spans="1:6" x14ac:dyDescent="0.2">
      <c r="A10" s="6">
        <v>20</v>
      </c>
      <c r="B10" t="s">
        <v>21</v>
      </c>
      <c r="C10" s="3">
        <v>5.5869999999999997</v>
      </c>
      <c r="D10" s="2">
        <v>30</v>
      </c>
      <c r="E10" s="2">
        <f t="shared" si="0"/>
        <v>205.48502851339848</v>
      </c>
      <c r="F10" s="4">
        <v>1526.9757080100001</v>
      </c>
    </row>
    <row r="11" spans="1:6" x14ac:dyDescent="0.2">
      <c r="A11" s="6">
        <v>23</v>
      </c>
      <c r="B11" t="s">
        <v>22</v>
      </c>
      <c r="C11" s="3">
        <v>5.4103333333333339</v>
      </c>
      <c r="D11" s="2">
        <v>32.222222222222221</v>
      </c>
      <c r="E11" s="2">
        <f t="shared" si="0"/>
        <v>203.21330695411174</v>
      </c>
      <c r="F11" s="4">
        <v>1289.3337402300001</v>
      </c>
    </row>
    <row r="12" spans="1:6" x14ac:dyDescent="0.2">
      <c r="A12" s="6">
        <v>26</v>
      </c>
      <c r="B12" t="s">
        <v>25</v>
      </c>
      <c r="C12" s="3">
        <v>3.4840000000000004</v>
      </c>
      <c r="D12" s="2">
        <v>32.222222222222221</v>
      </c>
      <c r="E12" s="2">
        <f t="shared" si="0"/>
        <v>201.28697362077841</v>
      </c>
      <c r="F12" s="4">
        <v>1113.4626464800001</v>
      </c>
    </row>
    <row r="13" spans="1:6" x14ac:dyDescent="0.2">
      <c r="A13" s="6">
        <v>30</v>
      </c>
      <c r="B13" t="s">
        <v>26</v>
      </c>
      <c r="C13" s="3">
        <v>0.61049999999999993</v>
      </c>
      <c r="D13" s="2">
        <v>28.611111111111107</v>
      </c>
      <c r="E13" s="2">
        <f t="shared" si="0"/>
        <v>201.81104890322064</v>
      </c>
      <c r="F13" s="4">
        <v>887.72674560500002</v>
      </c>
    </row>
    <row r="14" spans="1:6" x14ac:dyDescent="0.2">
      <c r="A14" s="6">
        <v>33</v>
      </c>
      <c r="B14" t="s">
        <v>27</v>
      </c>
      <c r="C14" s="3">
        <v>1.8333333333333335E-3</v>
      </c>
      <c r="D14" s="2">
        <v>27.777777777777779</v>
      </c>
      <c r="E14" s="2">
        <f t="shared" si="0"/>
        <v>201.98139221850499</v>
      </c>
      <c r="F14" s="4">
        <v>954.46228027300003</v>
      </c>
    </row>
    <row r="15" spans="1:6" x14ac:dyDescent="0.2">
      <c r="A15" s="6">
        <v>36</v>
      </c>
      <c r="B15" t="s">
        <v>28</v>
      </c>
      <c r="C15" s="3">
        <v>1.0816336799429918</v>
      </c>
      <c r="D15" s="2">
        <v>33.055555555555557</v>
      </c>
      <c r="E15" s="2">
        <f t="shared" si="0"/>
        <v>198.09540600494492</v>
      </c>
      <c r="F15" s="4">
        <v>821.85357666000004</v>
      </c>
    </row>
    <row r="16" spans="1:6" x14ac:dyDescent="0.2">
      <c r="A16" s="6">
        <v>40</v>
      </c>
      <c r="B16" t="s">
        <v>29</v>
      </c>
      <c r="C16" s="3">
        <v>0</v>
      </c>
      <c r="D16" s="2">
        <v>31.388888888888886</v>
      </c>
      <c r="E16" s="2">
        <f t="shared" si="0"/>
        <v>198.59022537855026</v>
      </c>
      <c r="F16" s="4">
        <v>396.48348999000001</v>
      </c>
    </row>
    <row r="17" spans="1:6" x14ac:dyDescent="0.2">
      <c r="A17" s="6">
        <v>43</v>
      </c>
      <c r="B17" t="s">
        <v>30</v>
      </c>
      <c r="C17" s="3">
        <v>9.0000000000000011E-3</v>
      </c>
      <c r="D17" s="2">
        <v>34.166666666666664</v>
      </c>
      <c r="E17" s="2">
        <f t="shared" si="0"/>
        <v>195.96743940310421</v>
      </c>
      <c r="F17" s="4">
        <v>316</v>
      </c>
    </row>
    <row r="18" spans="1:6" x14ac:dyDescent="0.2">
      <c r="A18" s="6">
        <v>46</v>
      </c>
      <c r="B18" t="s">
        <v>31</v>
      </c>
      <c r="C18" s="3">
        <v>0.29026141391498034</v>
      </c>
      <c r="D18" s="2">
        <v>33.611111111111114</v>
      </c>
      <c r="E18" s="2">
        <f t="shared" si="0"/>
        <v>196.77680737107454</v>
      </c>
      <c r="F18" s="4">
        <v>294.68939209000001</v>
      </c>
    </row>
    <row r="21" spans="1:6" ht="18" x14ac:dyDescent="0.25">
      <c r="A21" s="8" t="s">
        <v>40</v>
      </c>
    </row>
    <row r="22" spans="1:6" x14ac:dyDescent="0.2">
      <c r="A22" s="9" t="s">
        <v>41</v>
      </c>
    </row>
    <row r="36" spans="1:14" x14ac:dyDescent="0.2">
      <c r="I36" t="s">
        <v>34</v>
      </c>
      <c r="J36" t="s">
        <v>35</v>
      </c>
      <c r="K36" t="s">
        <v>11</v>
      </c>
      <c r="L36" t="s">
        <v>3</v>
      </c>
      <c r="M36" t="s">
        <v>4</v>
      </c>
      <c r="N36" t="s">
        <v>7</v>
      </c>
    </row>
    <row r="37" spans="1:14" x14ac:dyDescent="0.2">
      <c r="F37" t="s">
        <v>42</v>
      </c>
      <c r="G37" t="s">
        <v>43</v>
      </c>
      <c r="I37" s="6">
        <v>1</v>
      </c>
      <c r="J37" t="s">
        <v>8</v>
      </c>
      <c r="K37" s="7">
        <v>130.59793097084531</v>
      </c>
      <c r="L37" s="2">
        <v>32.222222222222221</v>
      </c>
      <c r="M37" s="2">
        <f>K37+((-0.7286*L37)+227.21)</f>
        <v>334.33081985973422</v>
      </c>
      <c r="N37" s="4">
        <v>3237.9897460900002</v>
      </c>
    </row>
    <row r="38" spans="1:14" x14ac:dyDescent="0.2">
      <c r="F38">
        <v>10</v>
      </c>
      <c r="G38">
        <v>220</v>
      </c>
      <c r="I38" s="6">
        <v>6</v>
      </c>
      <c r="J38" t="s">
        <v>17</v>
      </c>
      <c r="K38" s="7">
        <v>-246.55333333333337</v>
      </c>
      <c r="L38" s="2">
        <v>33.888888888888886</v>
      </c>
      <c r="M38" s="2">
        <f t="shared" ref="M38:M50" si="1">K38+((-0.7286*L38)+227.21)</f>
        <v>-44.034777777777805</v>
      </c>
      <c r="N38" s="4">
        <v>2429.2712402299999</v>
      </c>
    </row>
    <row r="39" spans="1:14" x14ac:dyDescent="0.2">
      <c r="F39">
        <f>F38+5</f>
        <v>15</v>
      </c>
      <c r="G39">
        <v>216</v>
      </c>
      <c r="I39" s="6">
        <v>13</v>
      </c>
      <c r="J39" t="s">
        <v>19</v>
      </c>
      <c r="K39" s="7">
        <v>78.168333333333337</v>
      </c>
      <c r="L39" s="2">
        <v>33.888888888888886</v>
      </c>
      <c r="M39" s="2">
        <f t="shared" si="1"/>
        <v>280.68688888888892</v>
      </c>
      <c r="N39" s="4">
        <v>2122.2141113299999</v>
      </c>
    </row>
    <row r="40" spans="1:14" x14ac:dyDescent="0.2">
      <c r="F40">
        <f t="shared" ref="F40:F44" si="2">F39+5</f>
        <v>20</v>
      </c>
      <c r="G40">
        <v>213</v>
      </c>
      <c r="I40" s="6" t="s">
        <v>36</v>
      </c>
      <c r="J40" t="s">
        <v>37</v>
      </c>
      <c r="K40" s="3">
        <v>1.9011666666666667</v>
      </c>
      <c r="L40" s="2">
        <v>32.222222222222221</v>
      </c>
      <c r="M40" s="2">
        <f t="shared" si="1"/>
        <v>205.63405555555556</v>
      </c>
      <c r="N40" s="4">
        <v>1807.7528076200001</v>
      </c>
    </row>
    <row r="41" spans="1:14" x14ac:dyDescent="0.2">
      <c r="F41">
        <f t="shared" si="2"/>
        <v>25</v>
      </c>
      <c r="G41">
        <v>209</v>
      </c>
      <c r="I41" s="6" t="s">
        <v>38</v>
      </c>
      <c r="J41" t="s">
        <v>39</v>
      </c>
      <c r="K41" s="3">
        <v>-5.0000000000000001E-4</v>
      </c>
      <c r="L41" s="2">
        <v>31.666666666666668</v>
      </c>
      <c r="M41" s="2">
        <f t="shared" si="1"/>
        <v>204.13716666666667</v>
      </c>
      <c r="N41" s="4">
        <v>1807.7528076200001</v>
      </c>
    </row>
    <row r="42" spans="1:14" x14ac:dyDescent="0.2">
      <c r="F42">
        <f t="shared" si="2"/>
        <v>30</v>
      </c>
      <c r="G42">
        <v>205</v>
      </c>
      <c r="I42" s="6">
        <v>20</v>
      </c>
      <c r="J42" t="s">
        <v>21</v>
      </c>
      <c r="K42" s="3">
        <v>5.5869999999999997</v>
      </c>
      <c r="L42" s="2">
        <v>30</v>
      </c>
      <c r="M42" s="2">
        <f t="shared" si="1"/>
        <v>210.93899999999999</v>
      </c>
      <c r="N42" s="4">
        <v>1526.9757080100001</v>
      </c>
    </row>
    <row r="43" spans="1:14" x14ac:dyDescent="0.2">
      <c r="F43">
        <f t="shared" si="2"/>
        <v>35</v>
      </c>
      <c r="G43">
        <v>202</v>
      </c>
      <c r="I43" s="6">
        <v>23</v>
      </c>
      <c r="J43" t="s">
        <v>22</v>
      </c>
      <c r="K43" s="3">
        <v>5.4103333333333339</v>
      </c>
      <c r="L43" s="2">
        <v>32.222222222222221</v>
      </c>
      <c r="M43" s="2">
        <f t="shared" si="1"/>
        <v>209.14322222222225</v>
      </c>
      <c r="N43" s="4">
        <v>1289.3337402300001</v>
      </c>
    </row>
    <row r="44" spans="1:14" x14ac:dyDescent="0.2">
      <c r="F44">
        <f t="shared" si="2"/>
        <v>40</v>
      </c>
      <c r="G44">
        <v>198</v>
      </c>
      <c r="I44" s="6">
        <v>26</v>
      </c>
      <c r="J44" t="s">
        <v>25</v>
      </c>
      <c r="K44" s="3">
        <v>3.4840000000000004</v>
      </c>
      <c r="L44" s="2">
        <v>32.222222222222221</v>
      </c>
      <c r="M44" s="2">
        <f t="shared" si="1"/>
        <v>207.21688888888892</v>
      </c>
      <c r="N44" s="4">
        <v>1113.4626464800001</v>
      </c>
    </row>
    <row r="45" spans="1:14" x14ac:dyDescent="0.2">
      <c r="F45" t="s">
        <v>44</v>
      </c>
      <c r="I45" s="6">
        <v>30</v>
      </c>
      <c r="J45" t="s">
        <v>26</v>
      </c>
      <c r="K45" s="3">
        <v>0.61049999999999993</v>
      </c>
      <c r="L45" s="2">
        <v>28.611111111111107</v>
      </c>
      <c r="M45" s="2">
        <f t="shared" si="1"/>
        <v>206.97444444444446</v>
      </c>
      <c r="N45" s="4">
        <v>887.72674560500002</v>
      </c>
    </row>
    <row r="46" spans="1:14" x14ac:dyDescent="0.2">
      <c r="I46" s="6">
        <v>33</v>
      </c>
      <c r="J46" t="s">
        <v>27</v>
      </c>
      <c r="K46" s="3">
        <v>1.8333333333333335E-3</v>
      </c>
      <c r="L46" s="2">
        <v>27.777777777777779</v>
      </c>
      <c r="M46" s="2">
        <f t="shared" si="1"/>
        <v>206.97294444444447</v>
      </c>
      <c r="N46" s="4">
        <v>954.46228027300003</v>
      </c>
    </row>
    <row r="47" spans="1:14" x14ac:dyDescent="0.2">
      <c r="I47" s="6">
        <v>36</v>
      </c>
      <c r="J47" t="s">
        <v>28</v>
      </c>
      <c r="K47" s="3">
        <v>1.0816336799429918</v>
      </c>
      <c r="L47" s="2">
        <v>33.055555555555557</v>
      </c>
      <c r="M47" s="2">
        <f t="shared" si="1"/>
        <v>204.20735590216523</v>
      </c>
      <c r="N47" s="4">
        <v>821.85357666000004</v>
      </c>
    </row>
    <row r="48" spans="1:14" x14ac:dyDescent="0.2">
      <c r="A48" t="s">
        <v>45</v>
      </c>
      <c r="I48" s="6">
        <v>40</v>
      </c>
      <c r="J48" t="s">
        <v>29</v>
      </c>
      <c r="K48" s="3">
        <v>0</v>
      </c>
      <c r="L48" s="2">
        <v>31.388888888888886</v>
      </c>
      <c r="M48" s="2">
        <f t="shared" si="1"/>
        <v>204.34005555555558</v>
      </c>
      <c r="N48" s="4">
        <v>396.48348999000001</v>
      </c>
    </row>
    <row r="49" spans="1:14" x14ac:dyDescent="0.2">
      <c r="I49" s="6">
        <v>43</v>
      </c>
      <c r="J49" t="s">
        <v>30</v>
      </c>
      <c r="K49" s="3">
        <v>9.0000000000000011E-3</v>
      </c>
      <c r="L49" s="2">
        <v>34.166666666666664</v>
      </c>
      <c r="M49" s="2">
        <f t="shared" si="1"/>
        <v>202.32516666666666</v>
      </c>
      <c r="N49" s="4">
        <v>316</v>
      </c>
    </row>
    <row r="50" spans="1:14" x14ac:dyDescent="0.2">
      <c r="I50" s="6">
        <v>46</v>
      </c>
      <c r="J50" t="s">
        <v>31</v>
      </c>
      <c r="K50" s="3">
        <v>0.29026141391498034</v>
      </c>
      <c r="L50" s="2">
        <v>33.611111111111114</v>
      </c>
      <c r="M50" s="2">
        <f t="shared" si="1"/>
        <v>203.01120585835943</v>
      </c>
      <c r="N50" s="4">
        <v>294.68939209000001</v>
      </c>
    </row>
    <row r="51" spans="1:14" x14ac:dyDescent="0.2">
      <c r="A51" t="s">
        <v>34</v>
      </c>
      <c r="B51" t="s">
        <v>35</v>
      </c>
      <c r="C51" t="s">
        <v>11</v>
      </c>
      <c r="D51" t="s">
        <v>3</v>
      </c>
      <c r="E51" t="s">
        <v>4</v>
      </c>
      <c r="F51" t="s">
        <v>7</v>
      </c>
    </row>
    <row r="52" spans="1:14" x14ac:dyDescent="0.2">
      <c r="A52" s="6">
        <v>1</v>
      </c>
      <c r="B52" t="s">
        <v>8</v>
      </c>
      <c r="C52" s="7">
        <v>130.59793097084531</v>
      </c>
      <c r="D52" s="2">
        <v>32.222222222222221</v>
      </c>
      <c r="E52" s="2">
        <f>C52-(0.198*(D52-25))+SQRT(50301-(297*D52))</f>
        <v>330.98715701236989</v>
      </c>
      <c r="F52" s="4">
        <v>3237.9897460900002</v>
      </c>
    </row>
    <row r="53" spans="1:14" x14ac:dyDescent="0.2">
      <c r="A53" s="6">
        <v>6</v>
      </c>
      <c r="B53" t="s">
        <v>17</v>
      </c>
      <c r="C53" s="7">
        <v>-246.55333333333337</v>
      </c>
      <c r="D53" s="2">
        <v>33.888888888888886</v>
      </c>
      <c r="E53" s="2">
        <f t="shared" ref="E53:E64" si="3">C53-(0.198*(D53-25))+SQRT(50301-(297*D53))</f>
        <v>-47.724201025523627</v>
      </c>
      <c r="F53" s="4">
        <v>2429.2712402299999</v>
      </c>
    </row>
    <row r="54" spans="1:14" x14ac:dyDescent="0.2">
      <c r="A54" s="6">
        <v>13</v>
      </c>
      <c r="B54" t="s">
        <v>19</v>
      </c>
      <c r="C54" s="7">
        <v>78.168333333333337</v>
      </c>
      <c r="D54" s="2">
        <v>33.888888888888886</v>
      </c>
      <c r="E54" s="2">
        <f t="shared" si="3"/>
        <v>276.99746564114309</v>
      </c>
      <c r="F54" s="4">
        <v>2122.2141113299999</v>
      </c>
    </row>
    <row r="55" spans="1:14" x14ac:dyDescent="0.2">
      <c r="A55" s="6" t="s">
        <v>38</v>
      </c>
      <c r="B55" t="s">
        <v>39</v>
      </c>
      <c r="C55" s="3">
        <v>-5.0000000000000001E-4</v>
      </c>
      <c r="D55" s="2">
        <v>31.666666666666668</v>
      </c>
      <c r="E55" s="2">
        <f t="shared" si="3"/>
        <v>200.90709455623261</v>
      </c>
      <c r="F55" s="4">
        <v>1807.7528076200001</v>
      </c>
    </row>
    <row r="56" spans="1:14" x14ac:dyDescent="0.2">
      <c r="A56" s="6">
        <v>20</v>
      </c>
      <c r="B56" t="s">
        <v>21</v>
      </c>
      <c r="C56" s="3">
        <v>5.5869999999999997</v>
      </c>
      <c r="D56" s="2">
        <v>30</v>
      </c>
      <c r="E56" s="2">
        <f t="shared" si="3"/>
        <v>208.04478199823168</v>
      </c>
      <c r="F56" s="4">
        <v>1526.9757080100001</v>
      </c>
    </row>
    <row r="57" spans="1:14" x14ac:dyDescent="0.2">
      <c r="A57" s="6">
        <v>23</v>
      </c>
      <c r="B57" t="s">
        <v>22</v>
      </c>
      <c r="C57" s="3">
        <v>5.4103333333333339</v>
      </c>
      <c r="D57" s="2">
        <v>32.222222222222221</v>
      </c>
      <c r="E57" s="2">
        <f t="shared" si="3"/>
        <v>205.79955937485792</v>
      </c>
      <c r="F57" s="4">
        <v>1289.3337402300001</v>
      </c>
    </row>
    <row r="58" spans="1:14" x14ac:dyDescent="0.2">
      <c r="A58" s="6">
        <v>26</v>
      </c>
      <c r="B58" t="s">
        <v>25</v>
      </c>
      <c r="C58" s="3">
        <v>3.4840000000000004</v>
      </c>
      <c r="D58" s="2">
        <v>32.222222222222221</v>
      </c>
      <c r="E58" s="2">
        <f t="shared" si="3"/>
        <v>203.87322604152459</v>
      </c>
      <c r="F58" s="4">
        <v>1113.4626464800001</v>
      </c>
    </row>
    <row r="59" spans="1:14" x14ac:dyDescent="0.2">
      <c r="A59" s="6">
        <v>30</v>
      </c>
      <c r="B59" t="s">
        <v>26</v>
      </c>
      <c r="C59" s="3">
        <v>0.61049999999999993</v>
      </c>
      <c r="D59" s="2">
        <v>28.611111111111107</v>
      </c>
      <c r="E59" s="2">
        <f t="shared" si="3"/>
        <v>204.35454235323024</v>
      </c>
      <c r="F59" s="4">
        <v>887.72674560500002</v>
      </c>
    </row>
    <row r="60" spans="1:14" x14ac:dyDescent="0.2">
      <c r="A60" s="6">
        <v>33</v>
      </c>
      <c r="B60" t="s">
        <v>27</v>
      </c>
      <c r="C60" s="3">
        <v>1.8333333333333335E-3</v>
      </c>
      <c r="D60" s="2">
        <v>27.777777777777779</v>
      </c>
      <c r="E60" s="2">
        <f t="shared" si="3"/>
        <v>204.51523816218133</v>
      </c>
      <c r="F60" s="4">
        <v>954.46228027300003</v>
      </c>
    </row>
    <row r="61" spans="1:14" x14ac:dyDescent="0.2">
      <c r="A61" s="6">
        <v>36</v>
      </c>
      <c r="B61" t="s">
        <v>28</v>
      </c>
      <c r="C61" s="3">
        <v>1.0816336799429918</v>
      </c>
      <c r="D61" s="2">
        <v>33.055555555555557</v>
      </c>
      <c r="E61" s="2">
        <f t="shared" si="3"/>
        <v>200.69175289911198</v>
      </c>
      <c r="F61" s="4">
        <v>821.85357666000004</v>
      </c>
    </row>
    <row r="62" spans="1:14" x14ac:dyDescent="0.2">
      <c r="A62" s="6">
        <v>40</v>
      </c>
      <c r="B62" t="s">
        <v>29</v>
      </c>
      <c r="C62" s="3">
        <v>0</v>
      </c>
      <c r="D62" s="2">
        <v>31.388888888888886</v>
      </c>
      <c r="E62" s="2">
        <f t="shared" si="3"/>
        <v>201.1664698854899</v>
      </c>
      <c r="F62" s="4">
        <v>396.48348999000001</v>
      </c>
    </row>
    <row r="63" spans="1:14" x14ac:dyDescent="0.2">
      <c r="A63" s="6">
        <v>43</v>
      </c>
      <c r="B63" t="s">
        <v>30</v>
      </c>
      <c r="C63" s="3">
        <v>9.0000000000000011E-3</v>
      </c>
      <c r="D63" s="2">
        <v>34.166666666666664</v>
      </c>
      <c r="E63" s="2">
        <f t="shared" si="3"/>
        <v>198.57738254456129</v>
      </c>
      <c r="F63" s="4">
        <v>316</v>
      </c>
    </row>
    <row r="64" spans="1:14" x14ac:dyDescent="0.2">
      <c r="A64" s="6">
        <v>46</v>
      </c>
      <c r="B64" t="s">
        <v>31</v>
      </c>
      <c r="C64" s="3">
        <v>0.29026141391498034</v>
      </c>
      <c r="D64" s="2">
        <v>33.611111111111114</v>
      </c>
      <c r="E64" s="2">
        <f t="shared" si="3"/>
        <v>199.37993265794975</v>
      </c>
      <c r="F64" s="4">
        <v>294.68939209000001</v>
      </c>
    </row>
    <row r="66" spans="1:1" ht="18" x14ac:dyDescent="0.25">
      <c r="A66" s="8" t="s">
        <v>40</v>
      </c>
    </row>
    <row r="67" spans="1:1" x14ac:dyDescent="0.2">
      <c r="A67" s="9" t="s">
        <v>41</v>
      </c>
    </row>
  </sheetData>
  <hyperlinks>
    <hyperlink ref="A22" r:id="rId1" xr:uid="{614423C3-3528-CB4D-8724-7A322CEB196B}"/>
    <hyperlink ref="A67" r:id="rId2" xr:uid="{1E47EB95-123E-1645-98EF-7302E36351AF}"/>
  </hyperlinks>
  <pageMargins left="0.7" right="0.7" top="0.75" bottom="0.75" header="0.3" footer="0.3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Gradient Redox</vt:lpstr>
      <vt:lpstr>Pourbaix</vt:lpstr>
      <vt:lpstr>Gradient Redox_SHE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Lizzie</dc:creator>
  <cp:lastModifiedBy>Lizzie Paulus</cp:lastModifiedBy>
  <dcterms:created xsi:type="dcterms:W3CDTF">2022-04-13T23:12:07Z</dcterms:created>
  <dcterms:modified xsi:type="dcterms:W3CDTF">2025-07-18T02:05:00Z</dcterms:modified>
</cp:coreProperties>
</file>