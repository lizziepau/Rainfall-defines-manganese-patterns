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Manuscripts/2025_Paulus/Mn Rainfall Patterns/Geoderma/Data and Components/"/>
    </mc:Choice>
  </mc:AlternateContent>
  <xr:revisionPtr revIDLastSave="0" documentId="13_ncr:1_{5AF92FF1-F36E-2049-997F-622DA951DDDB}" xr6:coauthVersionLast="47" xr6:coauthVersionMax="47" xr10:uidLastSave="{00000000-0000-0000-0000-000000000000}"/>
  <bookViews>
    <workbookView xWindow="4340" yWindow="2780" windowWidth="25900" windowHeight="15180" xr2:uid="{76A7BB58-8A56-CB4A-B9BA-B891FC070B75}"/>
  </bookViews>
  <sheets>
    <sheet name="Summary Data" sheetId="2" r:id="rId1"/>
    <sheet name="2018" sheetId="3" r:id="rId2"/>
    <sheet name="2019" sheetId="4" r:id="rId3"/>
    <sheet name="2021" sheetId="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8" i="2"/>
  <c r="L19" i="2"/>
  <c r="L28" i="2"/>
  <c r="L29" i="2"/>
  <c r="L38" i="2"/>
  <c r="L39" i="2"/>
  <c r="L48" i="2"/>
  <c r="J3" i="2"/>
  <c r="L3" i="2" s="1"/>
  <c r="K3" i="2"/>
  <c r="K4" i="2"/>
  <c r="K5" i="2"/>
  <c r="K6" i="2"/>
  <c r="K7" i="2"/>
  <c r="K8" i="2"/>
  <c r="K9" i="2"/>
  <c r="K10" i="2"/>
  <c r="K11" i="2"/>
  <c r="L11" i="2" s="1"/>
  <c r="K12" i="2"/>
  <c r="L12" i="2" s="1"/>
  <c r="K13" i="2"/>
  <c r="K14" i="2"/>
  <c r="K15" i="2"/>
  <c r="K16" i="2"/>
  <c r="K17" i="2"/>
  <c r="K18" i="2"/>
  <c r="K19" i="2"/>
  <c r="K20" i="2"/>
  <c r="K21" i="2"/>
  <c r="L21" i="2" s="1"/>
  <c r="K22" i="2"/>
  <c r="L22" i="2" s="1"/>
  <c r="K23" i="2"/>
  <c r="K24" i="2"/>
  <c r="K25" i="2"/>
  <c r="K26" i="2"/>
  <c r="K27" i="2"/>
  <c r="K28" i="2"/>
  <c r="K29" i="2"/>
  <c r="K30" i="2"/>
  <c r="K31" i="2"/>
  <c r="L31" i="2" s="1"/>
  <c r="K32" i="2"/>
  <c r="L32" i="2" s="1"/>
  <c r="K33" i="2"/>
  <c r="K34" i="2"/>
  <c r="K35" i="2"/>
  <c r="K36" i="2"/>
  <c r="K37" i="2"/>
  <c r="K38" i="2"/>
  <c r="K39" i="2"/>
  <c r="K40" i="2"/>
  <c r="K41" i="2"/>
  <c r="L41" i="2" s="1"/>
  <c r="K42" i="2"/>
  <c r="L42" i="2" s="1"/>
  <c r="K43" i="2"/>
  <c r="K44" i="2"/>
  <c r="K45" i="2"/>
  <c r="K46" i="2"/>
  <c r="K47" i="2"/>
  <c r="K48" i="2"/>
  <c r="J4" i="2"/>
  <c r="L4" i="2" s="1"/>
  <c r="J5" i="2"/>
  <c r="L5" i="2" s="1"/>
  <c r="J6" i="2"/>
  <c r="L6" i="2" s="1"/>
  <c r="J7" i="2"/>
  <c r="L7" i="2" s="1"/>
  <c r="J8" i="2"/>
  <c r="J9" i="2"/>
  <c r="J10" i="2"/>
  <c r="L10" i="2" s="1"/>
  <c r="J11" i="2"/>
  <c r="J12" i="2"/>
  <c r="J13" i="2"/>
  <c r="L13" i="2" s="1"/>
  <c r="J14" i="2"/>
  <c r="L14" i="2" s="1"/>
  <c r="J15" i="2"/>
  <c r="L15" i="2" s="1"/>
  <c r="J16" i="2"/>
  <c r="L16" i="2" s="1"/>
  <c r="J17" i="2"/>
  <c r="L17" i="2" s="1"/>
  <c r="J18" i="2"/>
  <c r="J19" i="2"/>
  <c r="J20" i="2"/>
  <c r="L20" i="2" s="1"/>
  <c r="J21" i="2"/>
  <c r="J22" i="2"/>
  <c r="J23" i="2"/>
  <c r="L23" i="2" s="1"/>
  <c r="J24" i="2"/>
  <c r="L24" i="2" s="1"/>
  <c r="J25" i="2"/>
  <c r="L25" i="2" s="1"/>
  <c r="J26" i="2"/>
  <c r="L26" i="2" s="1"/>
  <c r="J27" i="2"/>
  <c r="L27" i="2" s="1"/>
  <c r="J28" i="2"/>
  <c r="J29" i="2"/>
  <c r="J30" i="2"/>
  <c r="L30" i="2" s="1"/>
  <c r="J31" i="2"/>
  <c r="J32" i="2"/>
  <c r="J33" i="2"/>
  <c r="L33" i="2" s="1"/>
  <c r="J34" i="2"/>
  <c r="L34" i="2" s="1"/>
  <c r="J35" i="2"/>
  <c r="L35" i="2" s="1"/>
  <c r="J36" i="2"/>
  <c r="L36" i="2" s="1"/>
  <c r="J37" i="2"/>
  <c r="L37" i="2" s="1"/>
  <c r="J38" i="2"/>
  <c r="J39" i="2"/>
  <c r="J40" i="2"/>
  <c r="L40" i="2" s="1"/>
  <c r="J41" i="2"/>
  <c r="J42" i="2"/>
  <c r="J43" i="2"/>
  <c r="L43" i="2" s="1"/>
  <c r="J44" i="2"/>
  <c r="L44" i="2" s="1"/>
  <c r="J45" i="2"/>
  <c r="L45" i="2" s="1"/>
  <c r="J46" i="2"/>
  <c r="L46" i="2" s="1"/>
  <c r="J47" i="2"/>
  <c r="L47" i="2" s="1"/>
  <c r="J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1" i="2"/>
  <c r="H19" i="2"/>
  <c r="H17" i="2"/>
  <c r="H15" i="2"/>
  <c r="H13" i="2"/>
  <c r="H22" i="2"/>
  <c r="H20" i="2"/>
  <c r="H18" i="2"/>
  <c r="H16" i="2"/>
  <c r="H14" i="2"/>
  <c r="H12" i="2"/>
  <c r="H11" i="2"/>
  <c r="H10" i="2"/>
  <c r="H9" i="2"/>
  <c r="H8" i="2"/>
  <c r="H7" i="2"/>
  <c r="H6" i="2"/>
  <c r="H5" i="2"/>
  <c r="H3" i="2"/>
  <c r="H4" i="2"/>
  <c r="H48" i="2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O2" i="1"/>
  <c r="P2" i="1"/>
  <c r="G3" i="3"/>
  <c r="H3" i="4"/>
  <c r="G46" i="3" l="1"/>
  <c r="G27" i="3"/>
  <c r="G28" i="3"/>
  <c r="G29" i="3"/>
  <c r="G30" i="3"/>
  <c r="G31" i="3"/>
  <c r="G32" i="3"/>
  <c r="G33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11" i="3"/>
  <c r="G9" i="3"/>
  <c r="G7" i="3"/>
  <c r="G5" i="3"/>
  <c r="P137" i="1" l="1"/>
  <c r="P134" i="1"/>
  <c r="P131" i="1"/>
  <c r="P128" i="1"/>
  <c r="P125" i="1"/>
  <c r="P122" i="1"/>
  <c r="P119" i="1"/>
  <c r="P116" i="1"/>
  <c r="P113" i="1"/>
  <c r="P110" i="1"/>
  <c r="P107" i="1"/>
  <c r="P104" i="1"/>
  <c r="P101" i="1"/>
  <c r="P98" i="1"/>
  <c r="P95" i="1"/>
  <c r="P92" i="1"/>
  <c r="P89" i="1"/>
  <c r="P86" i="1"/>
  <c r="P83" i="1"/>
  <c r="P80" i="1"/>
  <c r="P77" i="1"/>
  <c r="P74" i="1"/>
  <c r="P71" i="1"/>
  <c r="P68" i="1"/>
  <c r="P65" i="1"/>
  <c r="P62" i="1"/>
  <c r="P59" i="1"/>
  <c r="P56" i="1"/>
  <c r="P53" i="1"/>
  <c r="P50" i="1"/>
  <c r="P47" i="1"/>
  <c r="P44" i="1"/>
  <c r="P41" i="1"/>
  <c r="P38" i="1"/>
  <c r="P35" i="1"/>
  <c r="P32" i="1"/>
  <c r="P29" i="1"/>
  <c r="P26" i="1"/>
  <c r="P23" i="1"/>
  <c r="P20" i="1"/>
  <c r="P17" i="1"/>
  <c r="P14" i="1"/>
  <c r="P11" i="1"/>
  <c r="P8" i="1"/>
  <c r="P5" i="1"/>
  <c r="E143" i="1"/>
  <c r="D143" i="1"/>
  <c r="E142" i="1"/>
  <c r="D142" i="1"/>
  <c r="I99" i="1" s="1"/>
  <c r="O99" i="1" s="1"/>
  <c r="Q99" i="1" s="1"/>
  <c r="K139" i="1"/>
  <c r="J139" i="1"/>
  <c r="I139" i="1"/>
  <c r="K138" i="1"/>
  <c r="J138" i="1"/>
  <c r="I138" i="1"/>
  <c r="O138" i="1" s="1"/>
  <c r="Q138" i="1" s="1"/>
  <c r="K137" i="1"/>
  <c r="J137" i="1"/>
  <c r="I137" i="1"/>
  <c r="O137" i="1" s="1"/>
  <c r="Q137" i="1" s="1"/>
  <c r="K136" i="1"/>
  <c r="L136" i="1" s="1"/>
  <c r="J136" i="1"/>
  <c r="I136" i="1"/>
  <c r="K135" i="1"/>
  <c r="L135" i="1" s="1"/>
  <c r="J135" i="1"/>
  <c r="I135" i="1"/>
  <c r="O135" i="1" s="1"/>
  <c r="Q135" i="1" s="1"/>
  <c r="K134" i="1"/>
  <c r="J134" i="1"/>
  <c r="I134" i="1"/>
  <c r="O134" i="1" s="1"/>
  <c r="Q134" i="1" s="1"/>
  <c r="Q133" i="1"/>
  <c r="O133" i="1"/>
  <c r="K133" i="1"/>
  <c r="L133" i="1" s="1"/>
  <c r="J133" i="1"/>
  <c r="I133" i="1"/>
  <c r="K132" i="1"/>
  <c r="J132" i="1"/>
  <c r="I132" i="1"/>
  <c r="O132" i="1" s="1"/>
  <c r="Q132" i="1" s="1"/>
  <c r="Q131" i="1"/>
  <c r="R131" i="1" s="1"/>
  <c r="O131" i="1"/>
  <c r="K131" i="1"/>
  <c r="L131" i="1" s="1"/>
  <c r="J131" i="1"/>
  <c r="I131" i="1"/>
  <c r="L130" i="1"/>
  <c r="K130" i="1"/>
  <c r="J130" i="1"/>
  <c r="O130" i="1" s="1"/>
  <c r="Q130" i="1" s="1"/>
  <c r="I130" i="1"/>
  <c r="K129" i="1"/>
  <c r="L129" i="1" s="1"/>
  <c r="J129" i="1"/>
  <c r="I129" i="1"/>
  <c r="O128" i="1"/>
  <c r="Q128" i="1" s="1"/>
  <c r="K128" i="1"/>
  <c r="L128" i="1" s="1"/>
  <c r="M128" i="1" s="1"/>
  <c r="J128" i="1"/>
  <c r="I128" i="1"/>
  <c r="O127" i="1"/>
  <c r="Q127" i="1" s="1"/>
  <c r="K127" i="1"/>
  <c r="L127" i="1" s="1"/>
  <c r="J127" i="1"/>
  <c r="I127" i="1"/>
  <c r="K126" i="1"/>
  <c r="J126" i="1"/>
  <c r="I126" i="1"/>
  <c r="O126" i="1" s="1"/>
  <c r="Q126" i="1" s="1"/>
  <c r="O125" i="1"/>
  <c r="Q125" i="1" s="1"/>
  <c r="R125" i="1" s="1"/>
  <c r="K125" i="1"/>
  <c r="J125" i="1"/>
  <c r="I125" i="1"/>
  <c r="K124" i="1"/>
  <c r="J124" i="1"/>
  <c r="I124" i="1"/>
  <c r="O124" i="1" s="1"/>
  <c r="Q124" i="1" s="1"/>
  <c r="K123" i="1"/>
  <c r="J123" i="1"/>
  <c r="I123" i="1"/>
  <c r="O123" i="1" s="1"/>
  <c r="Q123" i="1" s="1"/>
  <c r="K122" i="1"/>
  <c r="J122" i="1"/>
  <c r="I122" i="1"/>
  <c r="O122" i="1" s="1"/>
  <c r="Q122" i="1" s="1"/>
  <c r="K121" i="1"/>
  <c r="L121" i="1" s="1"/>
  <c r="J121" i="1"/>
  <c r="I121" i="1"/>
  <c r="K120" i="1"/>
  <c r="L120" i="1" s="1"/>
  <c r="J120" i="1"/>
  <c r="I120" i="1"/>
  <c r="O120" i="1" s="1"/>
  <c r="Q120" i="1" s="1"/>
  <c r="K119" i="1"/>
  <c r="J119" i="1"/>
  <c r="I119" i="1"/>
  <c r="O119" i="1" s="1"/>
  <c r="Q119" i="1" s="1"/>
  <c r="Q118" i="1"/>
  <c r="O118" i="1"/>
  <c r="K118" i="1"/>
  <c r="L118" i="1" s="1"/>
  <c r="J118" i="1"/>
  <c r="I118" i="1"/>
  <c r="K117" i="1"/>
  <c r="J117" i="1"/>
  <c r="I117" i="1"/>
  <c r="O117" i="1" s="1"/>
  <c r="Q117" i="1" s="1"/>
  <c r="Q116" i="1"/>
  <c r="R116" i="1" s="1"/>
  <c r="O116" i="1"/>
  <c r="K116" i="1"/>
  <c r="L116" i="1" s="1"/>
  <c r="J116" i="1"/>
  <c r="I116" i="1"/>
  <c r="K115" i="1"/>
  <c r="L115" i="1" s="1"/>
  <c r="M113" i="1" s="1"/>
  <c r="J115" i="1"/>
  <c r="O115" i="1" s="1"/>
  <c r="Q115" i="1" s="1"/>
  <c r="I115" i="1"/>
  <c r="K114" i="1"/>
  <c r="L114" i="1" s="1"/>
  <c r="J114" i="1"/>
  <c r="I114" i="1"/>
  <c r="O113" i="1"/>
  <c r="Q113" i="1" s="1"/>
  <c r="K113" i="1"/>
  <c r="L113" i="1" s="1"/>
  <c r="J113" i="1"/>
  <c r="I113" i="1"/>
  <c r="O112" i="1"/>
  <c r="Q112" i="1" s="1"/>
  <c r="K112" i="1"/>
  <c r="L112" i="1" s="1"/>
  <c r="J112" i="1"/>
  <c r="I112" i="1"/>
  <c r="K111" i="1"/>
  <c r="L111" i="1" s="1"/>
  <c r="J111" i="1"/>
  <c r="I111" i="1"/>
  <c r="O110" i="1"/>
  <c r="Q110" i="1" s="1"/>
  <c r="K110" i="1"/>
  <c r="J110" i="1"/>
  <c r="I110" i="1"/>
  <c r="O109" i="1"/>
  <c r="Q109" i="1" s="1"/>
  <c r="L109" i="1"/>
  <c r="K109" i="1"/>
  <c r="J109" i="1"/>
  <c r="I109" i="1"/>
  <c r="K108" i="1"/>
  <c r="J108" i="1"/>
  <c r="I108" i="1"/>
  <c r="O108" i="1" s="1"/>
  <c r="Q108" i="1" s="1"/>
  <c r="K107" i="1"/>
  <c r="J107" i="1"/>
  <c r="I107" i="1"/>
  <c r="O107" i="1" s="1"/>
  <c r="Q107" i="1" s="1"/>
  <c r="R107" i="1" s="1"/>
  <c r="K106" i="1"/>
  <c r="L106" i="1" s="1"/>
  <c r="J106" i="1"/>
  <c r="I106" i="1"/>
  <c r="O106" i="1" s="1"/>
  <c r="Q106" i="1" s="1"/>
  <c r="K105" i="1"/>
  <c r="J105" i="1"/>
  <c r="K104" i="1"/>
  <c r="J104" i="1"/>
  <c r="I104" i="1"/>
  <c r="O104" i="1" s="1"/>
  <c r="Q104" i="1" s="1"/>
  <c r="K103" i="1"/>
  <c r="J103" i="1"/>
  <c r="K102" i="1"/>
  <c r="J102" i="1"/>
  <c r="I102" i="1"/>
  <c r="O102" i="1" s="1"/>
  <c r="Q102" i="1" s="1"/>
  <c r="K101" i="1"/>
  <c r="J101" i="1"/>
  <c r="K100" i="1"/>
  <c r="J100" i="1"/>
  <c r="K99" i="1"/>
  <c r="J99" i="1"/>
  <c r="K98" i="1"/>
  <c r="J98" i="1"/>
  <c r="K97" i="1"/>
  <c r="J97" i="1"/>
  <c r="K96" i="1"/>
  <c r="L96" i="1" s="1"/>
  <c r="J96" i="1"/>
  <c r="I96" i="1"/>
  <c r="O96" i="1" s="1"/>
  <c r="Q96" i="1" s="1"/>
  <c r="K95" i="1"/>
  <c r="J95" i="1"/>
  <c r="O94" i="1"/>
  <c r="Q94" i="1" s="1"/>
  <c r="L94" i="1"/>
  <c r="K94" i="1"/>
  <c r="J94" i="1"/>
  <c r="I94" i="1"/>
  <c r="K93" i="1"/>
  <c r="J93" i="1"/>
  <c r="K92" i="1"/>
  <c r="J92" i="1"/>
  <c r="I92" i="1"/>
  <c r="O92" i="1" s="1"/>
  <c r="Q92" i="1" s="1"/>
  <c r="K91" i="1"/>
  <c r="L91" i="1" s="1"/>
  <c r="J91" i="1"/>
  <c r="I91" i="1"/>
  <c r="O91" i="1" s="1"/>
  <c r="Q91" i="1" s="1"/>
  <c r="K90" i="1"/>
  <c r="J90" i="1"/>
  <c r="K89" i="1"/>
  <c r="J89" i="1"/>
  <c r="I89" i="1"/>
  <c r="K88" i="1"/>
  <c r="J88" i="1"/>
  <c r="K87" i="1"/>
  <c r="J87" i="1"/>
  <c r="I87" i="1"/>
  <c r="O87" i="1" s="1"/>
  <c r="Q87" i="1" s="1"/>
  <c r="K86" i="1"/>
  <c r="J86" i="1"/>
  <c r="K85" i="1"/>
  <c r="J85" i="1"/>
  <c r="K84" i="1"/>
  <c r="J84" i="1"/>
  <c r="K83" i="1"/>
  <c r="J83" i="1"/>
  <c r="K82" i="1"/>
  <c r="J82" i="1"/>
  <c r="K81" i="1"/>
  <c r="L81" i="1" s="1"/>
  <c r="J81" i="1"/>
  <c r="I81" i="1"/>
  <c r="O81" i="1" s="1"/>
  <c r="Q81" i="1" s="1"/>
  <c r="K80" i="1"/>
  <c r="J80" i="1"/>
  <c r="O79" i="1"/>
  <c r="Q79" i="1" s="1"/>
  <c r="L79" i="1"/>
  <c r="K79" i="1"/>
  <c r="J79" i="1"/>
  <c r="I79" i="1"/>
  <c r="K78" i="1"/>
  <c r="J78" i="1"/>
  <c r="K77" i="1"/>
  <c r="J77" i="1"/>
  <c r="I77" i="1"/>
  <c r="L77" i="1" s="1"/>
  <c r="K76" i="1"/>
  <c r="L76" i="1" s="1"/>
  <c r="J76" i="1"/>
  <c r="I76" i="1"/>
  <c r="O76" i="1" s="1"/>
  <c r="Q76" i="1" s="1"/>
  <c r="K75" i="1"/>
  <c r="J75" i="1"/>
  <c r="K74" i="1"/>
  <c r="J74" i="1"/>
  <c r="I74" i="1"/>
  <c r="K73" i="1"/>
  <c r="J73" i="1"/>
  <c r="K72" i="1"/>
  <c r="J72" i="1"/>
  <c r="I72" i="1"/>
  <c r="O72" i="1" s="1"/>
  <c r="Q72" i="1" s="1"/>
  <c r="K71" i="1"/>
  <c r="J71" i="1"/>
  <c r="K70" i="1"/>
  <c r="J70" i="1"/>
  <c r="K69" i="1"/>
  <c r="J69" i="1"/>
  <c r="K68" i="1"/>
  <c r="J68" i="1"/>
  <c r="K67" i="1"/>
  <c r="J67" i="1"/>
  <c r="K66" i="1"/>
  <c r="L66" i="1" s="1"/>
  <c r="J66" i="1"/>
  <c r="I66" i="1"/>
  <c r="O66" i="1" s="1"/>
  <c r="Q66" i="1" s="1"/>
  <c r="K65" i="1"/>
  <c r="J65" i="1"/>
  <c r="O64" i="1"/>
  <c r="Q64" i="1" s="1"/>
  <c r="L64" i="1"/>
  <c r="K64" i="1"/>
  <c r="J64" i="1"/>
  <c r="I64" i="1"/>
  <c r="K63" i="1"/>
  <c r="J63" i="1"/>
  <c r="K62" i="1"/>
  <c r="J62" i="1"/>
  <c r="I62" i="1"/>
  <c r="L62" i="1" s="1"/>
  <c r="K61" i="1"/>
  <c r="L61" i="1" s="1"/>
  <c r="J61" i="1"/>
  <c r="I61" i="1"/>
  <c r="O61" i="1" s="1"/>
  <c r="Q61" i="1" s="1"/>
  <c r="K60" i="1"/>
  <c r="J60" i="1"/>
  <c r="K59" i="1"/>
  <c r="J59" i="1"/>
  <c r="I59" i="1"/>
  <c r="K58" i="1"/>
  <c r="J58" i="1"/>
  <c r="K57" i="1"/>
  <c r="J57" i="1"/>
  <c r="I57" i="1"/>
  <c r="O57" i="1" s="1"/>
  <c r="Q57" i="1" s="1"/>
  <c r="K56" i="1"/>
  <c r="J56" i="1"/>
  <c r="K55" i="1"/>
  <c r="J55" i="1"/>
  <c r="K54" i="1"/>
  <c r="J54" i="1"/>
  <c r="K53" i="1"/>
  <c r="J53" i="1"/>
  <c r="K52" i="1"/>
  <c r="J52" i="1"/>
  <c r="K51" i="1"/>
  <c r="L51" i="1" s="1"/>
  <c r="J51" i="1"/>
  <c r="I51" i="1"/>
  <c r="O51" i="1" s="1"/>
  <c r="Q51" i="1" s="1"/>
  <c r="K50" i="1"/>
  <c r="J50" i="1"/>
  <c r="O49" i="1"/>
  <c r="Q49" i="1" s="1"/>
  <c r="L49" i="1"/>
  <c r="K49" i="1"/>
  <c r="J49" i="1"/>
  <c r="I49" i="1"/>
  <c r="K48" i="1"/>
  <c r="J48" i="1"/>
  <c r="K47" i="1"/>
  <c r="J47" i="1"/>
  <c r="I47" i="1"/>
  <c r="O47" i="1" s="1"/>
  <c r="Q47" i="1" s="1"/>
  <c r="K46" i="1"/>
  <c r="L46" i="1" s="1"/>
  <c r="J46" i="1"/>
  <c r="I46" i="1"/>
  <c r="O46" i="1" s="1"/>
  <c r="Q46" i="1" s="1"/>
  <c r="K45" i="1"/>
  <c r="J45" i="1"/>
  <c r="K44" i="1"/>
  <c r="J44" i="1"/>
  <c r="K43" i="1"/>
  <c r="J43" i="1"/>
  <c r="K42" i="1"/>
  <c r="J42" i="1"/>
  <c r="K41" i="1"/>
  <c r="J41" i="1"/>
  <c r="I41" i="1"/>
  <c r="O41" i="1" s="1"/>
  <c r="Q41" i="1" s="1"/>
  <c r="K40" i="1"/>
  <c r="J40" i="1"/>
  <c r="K39" i="1"/>
  <c r="J39" i="1"/>
  <c r="I39" i="1"/>
  <c r="O39" i="1" s="1"/>
  <c r="Q39" i="1" s="1"/>
  <c r="K38" i="1"/>
  <c r="J38" i="1"/>
  <c r="Q37" i="1"/>
  <c r="O37" i="1"/>
  <c r="K37" i="1"/>
  <c r="J37" i="1"/>
  <c r="I37" i="1"/>
  <c r="L37" i="1" s="1"/>
  <c r="K36" i="1"/>
  <c r="J36" i="1"/>
  <c r="I36" i="1"/>
  <c r="O36" i="1" s="1"/>
  <c r="Q36" i="1" s="1"/>
  <c r="K35" i="1"/>
  <c r="J35" i="1"/>
  <c r="K34" i="1"/>
  <c r="J34" i="1"/>
  <c r="K33" i="1"/>
  <c r="J33" i="1"/>
  <c r="O32" i="1"/>
  <c r="Q32" i="1" s="1"/>
  <c r="K32" i="1"/>
  <c r="J32" i="1"/>
  <c r="I32" i="1"/>
  <c r="K31" i="1"/>
  <c r="J31" i="1"/>
  <c r="I31" i="1"/>
  <c r="O31" i="1" s="1"/>
  <c r="Q31" i="1" s="1"/>
  <c r="K30" i="1"/>
  <c r="J30" i="1"/>
  <c r="K29" i="1"/>
  <c r="J29" i="1"/>
  <c r="K28" i="1"/>
  <c r="J28" i="1"/>
  <c r="O27" i="1"/>
  <c r="Q27" i="1" s="1"/>
  <c r="K27" i="1"/>
  <c r="L27" i="1" s="1"/>
  <c r="J27" i="1"/>
  <c r="I27" i="1"/>
  <c r="K26" i="1"/>
  <c r="J26" i="1"/>
  <c r="I26" i="1"/>
  <c r="O26" i="1" s="1"/>
  <c r="Q26" i="1" s="1"/>
  <c r="K25" i="1"/>
  <c r="J25" i="1"/>
  <c r="K24" i="1"/>
  <c r="L24" i="1" s="1"/>
  <c r="J24" i="1"/>
  <c r="I24" i="1"/>
  <c r="K23" i="1"/>
  <c r="J23" i="1"/>
  <c r="O22" i="1"/>
  <c r="Q22" i="1" s="1"/>
  <c r="L22" i="1"/>
  <c r="K22" i="1"/>
  <c r="J22" i="1"/>
  <c r="I22" i="1"/>
  <c r="K21" i="1"/>
  <c r="J21" i="1"/>
  <c r="I21" i="1"/>
  <c r="O21" i="1" s="1"/>
  <c r="Q21" i="1" s="1"/>
  <c r="K20" i="1"/>
  <c r="J20" i="1"/>
  <c r="K19" i="1"/>
  <c r="J19" i="1"/>
  <c r="K18" i="1"/>
  <c r="J18" i="1"/>
  <c r="O17" i="1"/>
  <c r="Q17" i="1" s="1"/>
  <c r="K17" i="1"/>
  <c r="J17" i="1"/>
  <c r="I17" i="1"/>
  <c r="K16" i="1"/>
  <c r="J16" i="1"/>
  <c r="I16" i="1"/>
  <c r="O16" i="1" s="1"/>
  <c r="Q16" i="1" s="1"/>
  <c r="K15" i="1"/>
  <c r="J15" i="1"/>
  <c r="K14" i="1"/>
  <c r="J14" i="1"/>
  <c r="K13" i="1"/>
  <c r="J13" i="1"/>
  <c r="O12" i="1"/>
  <c r="Q12" i="1" s="1"/>
  <c r="K12" i="1"/>
  <c r="L12" i="1" s="1"/>
  <c r="J12" i="1"/>
  <c r="I12" i="1"/>
  <c r="K11" i="1"/>
  <c r="J11" i="1"/>
  <c r="I11" i="1"/>
  <c r="O11" i="1" s="1"/>
  <c r="Q11" i="1" s="1"/>
  <c r="K10" i="1"/>
  <c r="J10" i="1"/>
  <c r="O9" i="1"/>
  <c r="Q9" i="1" s="1"/>
  <c r="L9" i="1"/>
  <c r="K9" i="1"/>
  <c r="J9" i="1"/>
  <c r="I9" i="1"/>
  <c r="K8" i="1"/>
  <c r="J8" i="1"/>
  <c r="I8" i="1"/>
  <c r="O8" i="1" s="1"/>
  <c r="Q8" i="1" s="1"/>
  <c r="K7" i="1"/>
  <c r="J7" i="1"/>
  <c r="K6" i="1"/>
  <c r="L6" i="1" s="1"/>
  <c r="J6" i="1"/>
  <c r="I6" i="1"/>
  <c r="O6" i="1" s="1"/>
  <c r="Q6" i="1" s="1"/>
  <c r="K5" i="1"/>
  <c r="L5" i="1" s="1"/>
  <c r="J5" i="1"/>
  <c r="I5" i="1"/>
  <c r="K4" i="1"/>
  <c r="J4" i="1"/>
  <c r="K3" i="1"/>
  <c r="L3" i="1" s="1"/>
  <c r="J3" i="1"/>
  <c r="I3" i="1"/>
  <c r="O3" i="1" s="1"/>
  <c r="Q3" i="1" s="1"/>
  <c r="J2" i="1"/>
  <c r="I2" i="1"/>
  <c r="Q2" i="1" s="1"/>
  <c r="R122" i="1" l="1"/>
  <c r="R119" i="1"/>
  <c r="L25" i="1"/>
  <c r="R47" i="1"/>
  <c r="R134" i="1"/>
  <c r="M116" i="1"/>
  <c r="O5" i="1"/>
  <c r="Q5" i="1" s="1"/>
  <c r="L35" i="1"/>
  <c r="L88" i="1"/>
  <c r="L103" i="1"/>
  <c r="O111" i="1"/>
  <c r="Q111" i="1" s="1"/>
  <c r="R110" i="1" s="1"/>
  <c r="O121" i="1"/>
  <c r="Q121" i="1" s="1"/>
  <c r="L89" i="1"/>
  <c r="O89" i="1"/>
  <c r="Q89" i="1" s="1"/>
  <c r="R89" i="1" s="1"/>
  <c r="O136" i="1"/>
  <c r="Q136" i="1" s="1"/>
  <c r="L101" i="1"/>
  <c r="M101" i="1" s="1"/>
  <c r="M131" i="1"/>
  <c r="O139" i="1"/>
  <c r="Q139" i="1" s="1"/>
  <c r="R137" i="1" s="1"/>
  <c r="L139" i="1"/>
  <c r="L126" i="1"/>
  <c r="L74" i="1"/>
  <c r="O74" i="1"/>
  <c r="Q74" i="1" s="1"/>
  <c r="L15" i="1"/>
  <c r="L124" i="1"/>
  <c r="L31" i="1"/>
  <c r="L16" i="1"/>
  <c r="L39" i="1"/>
  <c r="L90" i="1"/>
  <c r="R113" i="1"/>
  <c r="L59" i="1"/>
  <c r="O59" i="1"/>
  <c r="Q59" i="1" s="1"/>
  <c r="R59" i="1" s="1"/>
  <c r="L82" i="1"/>
  <c r="L8" i="1"/>
  <c r="O62" i="1"/>
  <c r="Q62" i="1" s="1"/>
  <c r="L11" i="1"/>
  <c r="L21" i="1"/>
  <c r="L36" i="1"/>
  <c r="O77" i="1"/>
  <c r="Q77" i="1" s="1"/>
  <c r="R77" i="1" s="1"/>
  <c r="K2" i="1"/>
  <c r="L2" i="1" s="1"/>
  <c r="O24" i="1"/>
  <c r="Q24" i="1" s="1"/>
  <c r="L40" i="1"/>
  <c r="I42" i="1"/>
  <c r="O42" i="1" s="1"/>
  <c r="Q42" i="1" s="1"/>
  <c r="R41" i="1" s="1"/>
  <c r="I60" i="1"/>
  <c r="O60" i="1" s="1"/>
  <c r="Q60" i="1" s="1"/>
  <c r="L69" i="1"/>
  <c r="I75" i="1"/>
  <c r="O75" i="1" s="1"/>
  <c r="Q75" i="1" s="1"/>
  <c r="L84" i="1"/>
  <c r="I90" i="1"/>
  <c r="O90" i="1" s="1"/>
  <c r="Q90" i="1" s="1"/>
  <c r="L99" i="1"/>
  <c r="I105" i="1"/>
  <c r="O105" i="1" s="1"/>
  <c r="Q105" i="1" s="1"/>
  <c r="R104" i="1" s="1"/>
  <c r="I14" i="1"/>
  <c r="O14" i="1" s="1"/>
  <c r="Q14" i="1" s="1"/>
  <c r="L17" i="1"/>
  <c r="I19" i="1"/>
  <c r="I29" i="1"/>
  <c r="O29" i="1" s="1"/>
  <c r="Q29" i="1" s="1"/>
  <c r="R29" i="1" s="1"/>
  <c r="L32" i="1"/>
  <c r="I34" i="1"/>
  <c r="O34" i="1" s="1"/>
  <c r="Q34" i="1" s="1"/>
  <c r="I44" i="1"/>
  <c r="O44" i="1" s="1"/>
  <c r="Q44" i="1" s="1"/>
  <c r="L47" i="1"/>
  <c r="I53" i="1"/>
  <c r="I55" i="1"/>
  <c r="I68" i="1"/>
  <c r="I70" i="1"/>
  <c r="I83" i="1"/>
  <c r="I85" i="1"/>
  <c r="L92" i="1"/>
  <c r="I98" i="1"/>
  <c r="O98" i="1" s="1"/>
  <c r="Q98" i="1" s="1"/>
  <c r="I100" i="1"/>
  <c r="L107" i="1"/>
  <c r="L122" i="1"/>
  <c r="L137" i="1"/>
  <c r="I28" i="1"/>
  <c r="I80" i="1"/>
  <c r="I97" i="1"/>
  <c r="O97" i="1" s="1"/>
  <c r="Q97" i="1" s="1"/>
  <c r="L119" i="1"/>
  <c r="M119" i="1" s="1"/>
  <c r="I4" i="1"/>
  <c r="I7" i="1"/>
  <c r="I10" i="1"/>
  <c r="I18" i="1"/>
  <c r="I33" i="1"/>
  <c r="I48" i="1"/>
  <c r="O48" i="1" s="1"/>
  <c r="Q48" i="1" s="1"/>
  <c r="L57" i="1"/>
  <c r="I63" i="1"/>
  <c r="O63" i="1" s="1"/>
  <c r="Q63" i="1" s="1"/>
  <c r="L72" i="1"/>
  <c r="I78" i="1"/>
  <c r="O78" i="1" s="1"/>
  <c r="Q78" i="1" s="1"/>
  <c r="L87" i="1"/>
  <c r="I93" i="1"/>
  <c r="O93" i="1" s="1"/>
  <c r="Q93" i="1" s="1"/>
  <c r="R92" i="1" s="1"/>
  <c r="L102" i="1"/>
  <c r="L117" i="1"/>
  <c r="L132" i="1"/>
  <c r="I23" i="1"/>
  <c r="O23" i="1" s="1"/>
  <c r="Q23" i="1" s="1"/>
  <c r="R23" i="1" s="1"/>
  <c r="L26" i="1"/>
  <c r="L41" i="1"/>
  <c r="I50" i="1"/>
  <c r="I65" i="1"/>
  <c r="L134" i="1"/>
  <c r="M134" i="1" s="1"/>
  <c r="I20" i="1"/>
  <c r="O20" i="1" s="1"/>
  <c r="Q20" i="1" s="1"/>
  <c r="R20" i="1" s="1"/>
  <c r="L23" i="1"/>
  <c r="M23" i="1" s="1"/>
  <c r="I25" i="1"/>
  <c r="O25" i="1" s="1"/>
  <c r="Q25" i="1" s="1"/>
  <c r="I35" i="1"/>
  <c r="O35" i="1" s="1"/>
  <c r="Q35" i="1" s="1"/>
  <c r="R35" i="1" s="1"/>
  <c r="I40" i="1"/>
  <c r="O40" i="1" s="1"/>
  <c r="Q40" i="1" s="1"/>
  <c r="I56" i="1"/>
  <c r="I58" i="1"/>
  <c r="O58" i="1" s="1"/>
  <c r="Q58" i="1" s="1"/>
  <c r="I71" i="1"/>
  <c r="I73" i="1"/>
  <c r="O73" i="1" s="1"/>
  <c r="Q73" i="1" s="1"/>
  <c r="I86" i="1"/>
  <c r="I88" i="1"/>
  <c r="O88" i="1" s="1"/>
  <c r="Q88" i="1" s="1"/>
  <c r="I101" i="1"/>
  <c r="O101" i="1" s="1"/>
  <c r="Q101" i="1" s="1"/>
  <c r="I103" i="1"/>
  <c r="O103" i="1" s="1"/>
  <c r="Q103" i="1" s="1"/>
  <c r="L110" i="1"/>
  <c r="M110" i="1" s="1"/>
  <c r="L125" i="1"/>
  <c r="I13" i="1"/>
  <c r="I38" i="1"/>
  <c r="O38" i="1" s="1"/>
  <c r="Q38" i="1" s="1"/>
  <c r="R38" i="1" s="1"/>
  <c r="I43" i="1"/>
  <c r="O43" i="1" s="1"/>
  <c r="Q43" i="1" s="1"/>
  <c r="I52" i="1"/>
  <c r="O52" i="1" s="1"/>
  <c r="Q52" i="1" s="1"/>
  <c r="I67" i="1"/>
  <c r="O67" i="1" s="1"/>
  <c r="Q67" i="1" s="1"/>
  <c r="I82" i="1"/>
  <c r="O82" i="1" s="1"/>
  <c r="Q82" i="1" s="1"/>
  <c r="I95" i="1"/>
  <c r="O95" i="1" s="1"/>
  <c r="Q95" i="1" s="1"/>
  <c r="L104" i="1"/>
  <c r="I15" i="1"/>
  <c r="O15" i="1" s="1"/>
  <c r="Q15" i="1" s="1"/>
  <c r="I30" i="1"/>
  <c r="O30" i="1" s="1"/>
  <c r="Q30" i="1" s="1"/>
  <c r="I45" i="1"/>
  <c r="O45" i="1" s="1"/>
  <c r="Q45" i="1" s="1"/>
  <c r="L48" i="1"/>
  <c r="I54" i="1"/>
  <c r="O54" i="1" s="1"/>
  <c r="Q54" i="1" s="1"/>
  <c r="L63" i="1"/>
  <c r="M62" i="1" s="1"/>
  <c r="I69" i="1"/>
  <c r="O69" i="1" s="1"/>
  <c r="Q69" i="1" s="1"/>
  <c r="I84" i="1"/>
  <c r="O84" i="1" s="1"/>
  <c r="Q84" i="1" s="1"/>
  <c r="L108" i="1"/>
  <c r="O114" i="1"/>
  <c r="Q114" i="1" s="1"/>
  <c r="L123" i="1"/>
  <c r="O129" i="1"/>
  <c r="Q129" i="1" s="1"/>
  <c r="R128" i="1" s="1"/>
  <c r="L138" i="1"/>
  <c r="O10" i="1" l="1"/>
  <c r="Q10" i="1" s="1"/>
  <c r="R8" i="1" s="1"/>
  <c r="L10" i="1"/>
  <c r="O100" i="1"/>
  <c r="Q100" i="1" s="1"/>
  <c r="R98" i="1" s="1"/>
  <c r="L100" i="1"/>
  <c r="R44" i="1"/>
  <c r="M2" i="1"/>
  <c r="L86" i="1"/>
  <c r="M86" i="1" s="1"/>
  <c r="O86" i="1"/>
  <c r="Q86" i="1" s="1"/>
  <c r="R86" i="1" s="1"/>
  <c r="O7" i="1"/>
  <c r="Q7" i="1" s="1"/>
  <c r="L7" i="1"/>
  <c r="M5" i="1" s="1"/>
  <c r="O4" i="1"/>
  <c r="Q4" i="1" s="1"/>
  <c r="R2" i="1" s="1"/>
  <c r="L4" i="1"/>
  <c r="M32" i="1"/>
  <c r="L71" i="1"/>
  <c r="M71" i="1" s="1"/>
  <c r="O71" i="1"/>
  <c r="Q71" i="1" s="1"/>
  <c r="R71" i="1" s="1"/>
  <c r="L65" i="1"/>
  <c r="M65" i="1" s="1"/>
  <c r="O65" i="1"/>
  <c r="Q65" i="1" s="1"/>
  <c r="R65" i="1" s="1"/>
  <c r="O85" i="1"/>
  <c r="Q85" i="1" s="1"/>
  <c r="L85" i="1"/>
  <c r="L97" i="1"/>
  <c r="L20" i="1"/>
  <c r="M20" i="1" s="1"/>
  <c r="L13" i="1"/>
  <c r="O13" i="1"/>
  <c r="Q13" i="1" s="1"/>
  <c r="R11" i="1" s="1"/>
  <c r="L50" i="1"/>
  <c r="O50" i="1"/>
  <c r="Q50" i="1" s="1"/>
  <c r="R50" i="1" s="1"/>
  <c r="L83" i="1"/>
  <c r="M83" i="1" s="1"/>
  <c r="O83" i="1"/>
  <c r="Q83" i="1" s="1"/>
  <c r="R83" i="1" s="1"/>
  <c r="O19" i="1"/>
  <c r="Q19" i="1" s="1"/>
  <c r="L19" i="1"/>
  <c r="L54" i="1"/>
  <c r="R74" i="1"/>
  <c r="L73" i="1"/>
  <c r="M125" i="1"/>
  <c r="L56" i="1"/>
  <c r="O56" i="1"/>
  <c r="Q56" i="1" s="1"/>
  <c r="R56" i="1" s="1"/>
  <c r="L80" i="1"/>
  <c r="M80" i="1" s="1"/>
  <c r="O80" i="1"/>
  <c r="Q80" i="1" s="1"/>
  <c r="R80" i="1" s="1"/>
  <c r="O70" i="1"/>
  <c r="Q70" i="1" s="1"/>
  <c r="L70" i="1"/>
  <c r="M11" i="1"/>
  <c r="L105" i="1"/>
  <c r="M74" i="1"/>
  <c r="L44" i="1"/>
  <c r="M44" i="1" s="1"/>
  <c r="L58" i="1"/>
  <c r="L42" i="1"/>
  <c r="M41" i="1" s="1"/>
  <c r="L28" i="1"/>
  <c r="M26" i="1" s="1"/>
  <c r="O28" i="1"/>
  <c r="Q28" i="1" s="1"/>
  <c r="R26" i="1" s="1"/>
  <c r="L68" i="1"/>
  <c r="M68" i="1" s="1"/>
  <c r="O68" i="1"/>
  <c r="Q68" i="1" s="1"/>
  <c r="R68" i="1" s="1"/>
  <c r="R14" i="1"/>
  <c r="L45" i="1"/>
  <c r="L43" i="1"/>
  <c r="L93" i="1"/>
  <c r="M92" i="1" s="1"/>
  <c r="M104" i="1"/>
  <c r="L38" i="1"/>
  <c r="M38" i="1" s="1"/>
  <c r="M137" i="1"/>
  <c r="O55" i="1"/>
  <c r="Q55" i="1" s="1"/>
  <c r="L55" i="1"/>
  <c r="L98" i="1"/>
  <c r="M98" i="1" s="1"/>
  <c r="L75" i="1"/>
  <c r="M35" i="1"/>
  <c r="R95" i="1"/>
  <c r="R101" i="1"/>
  <c r="O33" i="1"/>
  <c r="Q33" i="1" s="1"/>
  <c r="R32" i="1" s="1"/>
  <c r="L33" i="1"/>
  <c r="M122" i="1"/>
  <c r="L53" i="1"/>
  <c r="O53" i="1"/>
  <c r="Q53" i="1" s="1"/>
  <c r="R53" i="1" s="1"/>
  <c r="L29" i="1"/>
  <c r="R62" i="1"/>
  <c r="L60" i="1"/>
  <c r="M59" i="1" s="1"/>
  <c r="L30" i="1"/>
  <c r="M89" i="1"/>
  <c r="L14" i="1"/>
  <c r="M14" i="1" s="1"/>
  <c r="L78" i="1"/>
  <c r="M77" i="1" s="1"/>
  <c r="L95" i="1"/>
  <c r="M95" i="1" s="1"/>
  <c r="O18" i="1"/>
  <c r="Q18" i="1" s="1"/>
  <c r="R17" i="1" s="1"/>
  <c r="L18" i="1"/>
  <c r="M17" i="1" s="1"/>
  <c r="M107" i="1"/>
  <c r="M47" i="1"/>
  <c r="M8" i="1"/>
  <c r="L52" i="1"/>
  <c r="L67" i="1"/>
  <c r="R5" i="1"/>
  <c r="L34" i="1"/>
  <c r="M56" i="1" l="1"/>
  <c r="M53" i="1"/>
  <c r="M50" i="1"/>
  <c r="M29" i="1"/>
</calcChain>
</file>

<file path=xl/sharedStrings.xml><?xml version="1.0" encoding="utf-8"?>
<sst xmlns="http://schemas.openxmlformats.org/spreadsheetml/2006/main" count="330" uniqueCount="245">
  <si>
    <t>Tin #</t>
  </si>
  <si>
    <t>Sample ID</t>
  </si>
  <si>
    <t>Wet Soil + Tin Mass (g)</t>
  </si>
  <si>
    <t>Dry Soil + Tin Mass (g)</t>
  </si>
  <si>
    <t>Tin Shape</t>
  </si>
  <si>
    <t>Oven Start Date (65°C)</t>
  </si>
  <si>
    <t>Oven End Date</t>
  </si>
  <si>
    <t>Wet Soil Mass (g)</t>
  </si>
  <si>
    <t>Dry Soil Mass (g)</t>
  </si>
  <si>
    <t>Water Mass (g)</t>
  </si>
  <si>
    <t>Moisture Fraction</t>
  </si>
  <si>
    <t>Average Moisture</t>
  </si>
  <si>
    <t>Puanui Site</t>
  </si>
  <si>
    <t>GWC (%)</t>
  </si>
  <si>
    <t>Avg GWC (%)</t>
  </si>
  <si>
    <t>P01-1</t>
  </si>
  <si>
    <t>rectangle</t>
  </si>
  <si>
    <t>P01-2</t>
  </si>
  <si>
    <t>P01-3</t>
  </si>
  <si>
    <t>P02-1</t>
  </si>
  <si>
    <t>P02-2</t>
  </si>
  <si>
    <t>P02-3</t>
  </si>
  <si>
    <t>P03-1</t>
  </si>
  <si>
    <t>P03-2</t>
  </si>
  <si>
    <t>P03-3</t>
  </si>
  <si>
    <t>P04-1</t>
  </si>
  <si>
    <t>P04-2</t>
  </si>
  <si>
    <t>P04-3</t>
  </si>
  <si>
    <t>P05-1</t>
  </si>
  <si>
    <t>P05-2</t>
  </si>
  <si>
    <t>P05-3</t>
  </si>
  <si>
    <t>P06-1</t>
  </si>
  <si>
    <t>P06-2</t>
  </si>
  <si>
    <t>P06-3</t>
  </si>
  <si>
    <t>P07-1</t>
  </si>
  <si>
    <t>P07-2</t>
  </si>
  <si>
    <t>P07-3</t>
  </si>
  <si>
    <t>P08-1</t>
  </si>
  <si>
    <t>P08-2</t>
  </si>
  <si>
    <t>P08-3</t>
  </si>
  <si>
    <t>P09-1</t>
  </si>
  <si>
    <t>P09-2</t>
  </si>
  <si>
    <t>P09-3</t>
  </si>
  <si>
    <t>P10-1</t>
  </si>
  <si>
    <t>P10-2</t>
  </si>
  <si>
    <t>P10-3</t>
  </si>
  <si>
    <t>P11-1</t>
  </si>
  <si>
    <t>P11-2</t>
  </si>
  <si>
    <t>P11-3</t>
  </si>
  <si>
    <t>P12-1</t>
  </si>
  <si>
    <t>P12-2</t>
  </si>
  <si>
    <t>P12-3</t>
  </si>
  <si>
    <t>P13-1</t>
  </si>
  <si>
    <t>P13-2</t>
  </si>
  <si>
    <t>P13-3</t>
  </si>
  <si>
    <t>P14-1</t>
  </si>
  <si>
    <t>P14-2</t>
  </si>
  <si>
    <t>P14-3</t>
  </si>
  <si>
    <t>P15-1</t>
  </si>
  <si>
    <t>P15-2</t>
  </si>
  <si>
    <t>P15-3</t>
  </si>
  <si>
    <t>P16-1</t>
  </si>
  <si>
    <t>P16-2</t>
  </si>
  <si>
    <t>P16-3</t>
  </si>
  <si>
    <t>P17-1</t>
  </si>
  <si>
    <t>P17-2</t>
  </si>
  <si>
    <t>P17-3</t>
  </si>
  <si>
    <t>P18-1</t>
  </si>
  <si>
    <t>P18-2</t>
  </si>
  <si>
    <t>P18-3</t>
  </si>
  <si>
    <t>P19-1</t>
  </si>
  <si>
    <t>P19-2</t>
  </si>
  <si>
    <t>P19-3</t>
  </si>
  <si>
    <t>P20-1</t>
  </si>
  <si>
    <t>P20-2</t>
  </si>
  <si>
    <t>P20-3</t>
  </si>
  <si>
    <t>P21-1</t>
  </si>
  <si>
    <t>P21-2</t>
  </si>
  <si>
    <t>P21-3</t>
  </si>
  <si>
    <t>P22-1</t>
  </si>
  <si>
    <t>P22-2</t>
  </si>
  <si>
    <t>P22-3</t>
  </si>
  <si>
    <t>P23-1</t>
  </si>
  <si>
    <t>P23-2</t>
  </si>
  <si>
    <t>P23-3</t>
  </si>
  <si>
    <t>P24-1</t>
  </si>
  <si>
    <t>P24-2</t>
  </si>
  <si>
    <t>P24-3</t>
  </si>
  <si>
    <t>P25-1</t>
  </si>
  <si>
    <t>P25-2</t>
  </si>
  <si>
    <t>P25-3</t>
  </si>
  <si>
    <t>P26-1</t>
  </si>
  <si>
    <t>P26-2</t>
  </si>
  <si>
    <t>P26-3</t>
  </si>
  <si>
    <t>P27-1</t>
  </si>
  <si>
    <t>P27-2</t>
  </si>
  <si>
    <t>P27-3</t>
  </si>
  <si>
    <t>P28-1</t>
  </si>
  <si>
    <t>P28-2</t>
  </si>
  <si>
    <t>P28-3</t>
  </si>
  <si>
    <t>P29-1</t>
  </si>
  <si>
    <t>P29-2</t>
  </si>
  <si>
    <t>P29-3</t>
  </si>
  <si>
    <t>P30-1</t>
  </si>
  <si>
    <t>P30-2</t>
  </si>
  <si>
    <t>P30-3</t>
  </si>
  <si>
    <t>P31-1</t>
  </si>
  <si>
    <t>P31-2</t>
  </si>
  <si>
    <t>P31-3</t>
  </si>
  <si>
    <t>P32-1</t>
  </si>
  <si>
    <t>P32-2</t>
  </si>
  <si>
    <t>P32-3</t>
  </si>
  <si>
    <t>P33-1</t>
  </si>
  <si>
    <t>P33-2</t>
  </si>
  <si>
    <t>P33-3</t>
  </si>
  <si>
    <t>P34-1</t>
  </si>
  <si>
    <t>P34-2</t>
  </si>
  <si>
    <t>P34-3</t>
  </si>
  <si>
    <t>P35-1</t>
  </si>
  <si>
    <t>P35-2</t>
  </si>
  <si>
    <t>P35-3</t>
  </si>
  <si>
    <t>circle</t>
  </si>
  <si>
    <t>P36-1</t>
  </si>
  <si>
    <t>P36-2</t>
  </si>
  <si>
    <t>P36-3</t>
  </si>
  <si>
    <t>P37-1</t>
  </si>
  <si>
    <t>P37-2</t>
  </si>
  <si>
    <t>P37-3</t>
  </si>
  <si>
    <t>P38-1</t>
  </si>
  <si>
    <t>P38-2</t>
  </si>
  <si>
    <t>P38-3</t>
  </si>
  <si>
    <t>P39-1</t>
  </si>
  <si>
    <t>P39-2</t>
  </si>
  <si>
    <t>P39-3</t>
  </si>
  <si>
    <t>P40-1</t>
  </si>
  <si>
    <t>P40-2</t>
  </si>
  <si>
    <t>P40-3</t>
  </si>
  <si>
    <t>P41-1</t>
  </si>
  <si>
    <t>P41-2</t>
  </si>
  <si>
    <t>P41-3</t>
  </si>
  <si>
    <t>P42-1</t>
  </si>
  <si>
    <t>P42-2</t>
  </si>
  <si>
    <t>P42-3</t>
  </si>
  <si>
    <t>P43-1</t>
  </si>
  <si>
    <t>P43-2</t>
  </si>
  <si>
    <t>P43-3</t>
  </si>
  <si>
    <t>P44-1</t>
  </si>
  <si>
    <t>P44-2</t>
  </si>
  <si>
    <t>P44-3</t>
  </si>
  <si>
    <t>P45-1</t>
  </si>
  <si>
    <t>P45-2</t>
  </si>
  <si>
    <t>P45-3</t>
  </si>
  <si>
    <t>P46-1</t>
  </si>
  <si>
    <t>P46-2</t>
  </si>
  <si>
    <t>P46-3</t>
  </si>
  <si>
    <t>3x tin rectangles</t>
  </si>
  <si>
    <t>3x tin circles</t>
  </si>
  <si>
    <t>1x tin rectangle</t>
  </si>
  <si>
    <t>1x tin circle</t>
  </si>
  <si>
    <t>GWC (g water per g dry soil)</t>
  </si>
  <si>
    <t>Avg GWC (g water per g dry soil)</t>
  </si>
  <si>
    <t>GWC =</t>
  </si>
  <si>
    <t>dry weight (g)</t>
  </si>
  <si>
    <t>wet weight (g) - dry weight (g)</t>
  </si>
  <si>
    <t>Soil Sample</t>
  </si>
  <si>
    <t>Dry Weight+ Tin (g)</t>
  </si>
  <si>
    <t>Tin Weight (g)</t>
  </si>
  <si>
    <t>Dry Weight (g)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</si>
  <si>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</si>
  <si>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</si>
  <si>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</si>
  <si>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</si>
  <si>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</si>
  <si>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</si>
  <si>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</si>
  <si>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</si>
  <si>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</si>
  <si>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</si>
  <si>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</si>
  <si>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</si>
  <si>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</si>
  <si>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</si>
  <si>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</si>
  <si>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</si>
  <si>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</si>
  <si>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</si>
  <si>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</si>
  <si>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P20a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</si>
  <si>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</si>
  <si>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</si>
  <si>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</si>
  <si>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</si>
  <si>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</si>
  <si>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</si>
  <si>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</si>
  <si>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</si>
  <si>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</si>
  <si>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</si>
  <si>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</si>
  <si>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</si>
  <si>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</si>
  <si>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</si>
  <si>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</si>
  <si>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</si>
  <si>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</si>
  <si>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</si>
  <si>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</si>
  <si>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</si>
  <si>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</si>
  <si>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</si>
  <si>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</si>
  <si>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</si>
  <si>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</si>
  <si>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Field-moist Weight (g)</t>
  </si>
  <si>
    <t>P46</t>
  </si>
  <si>
    <t>Water Weight (g)</t>
  </si>
  <si>
    <t>Dry Start Date: 9/18/19</t>
  </si>
  <si>
    <t>Dry End Date: 9/23/19</t>
  </si>
  <si>
    <t>Site</t>
  </si>
  <si>
    <t>Site #</t>
  </si>
  <si>
    <t>Tin Mass (g)</t>
  </si>
  <si>
    <t xml:space="preserve">Tin + Wet Soil Mass (g) </t>
  </si>
  <si>
    <t>Wet Soil [-Tin] (g)</t>
  </si>
  <si>
    <t>Tin + Dry Mass (g)</t>
  </si>
  <si>
    <t>Dry Mass [-Tin] (g)</t>
  </si>
  <si>
    <t>P20</t>
  </si>
  <si>
    <t>5 tins</t>
  </si>
  <si>
    <t>Gravimetric Water Content (g water per g dry soil)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</si>
  <si>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</si>
  <si>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</si>
  <si>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</si>
  <si>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</si>
  <si>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</si>
  <si>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</si>
  <si>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</si>
  <si>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</si>
  <si>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</si>
  <si>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Avg 2021</t>
  </si>
  <si>
    <t>Overall Avg</t>
  </si>
  <si>
    <t>MAP (mm)</t>
  </si>
  <si>
    <t>2018</t>
  </si>
  <si>
    <t>2019</t>
  </si>
  <si>
    <t>SD</t>
  </si>
  <si>
    <t>Count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</si>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</sst>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/>
    <xf numFmtId="169" fontId="0" fillId="0" borderId="0" xfId="0" applyNumberFormat="1"/>
    <xf numFmtId="0" fontId="0" fillId="0" borderId="0" xfId="0" applyBorder="1"/>
    <xf numFmtId="1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'Summary Data'!$L$3:$L$48</c:f>
                <c:numCache>
                  <c:formatCode>General</c:formatCode>
                  <c:ptCount val="46"/>
                  <c:pt idx="0">
                    <c:v>2.9189293036205658E-2</c:v>
                  </c:pt>
                  <c:pt idx="1">
                    <c:v>3.4277522771186439E-2</c:v>
                  </c:pt>
                  <c:pt idx="2">
                    <c:v>5.6238694456314207E-2</c:v>
                  </c:pt>
                  <c:pt idx="3">
                    <c:v>4.5141749924317125E-2</c:v>
                  </c:pt>
                  <c:pt idx="4">
                    <c:v>6.6877165030796049E-2</c:v>
                  </c:pt>
                  <c:pt idx="5">
                    <c:v>3.557293128573126E-2</c:v>
                  </c:pt>
                  <c:pt idx="6">
                    <c:v>4.901246685520004E-2</c:v>
                  </c:pt>
                  <c:pt idx="7">
                    <c:v>5.342996071979228E-2</c:v>
                  </c:pt>
                  <c:pt idx="8">
                    <c:v>1.2651106239905605E-2</c:v>
                  </c:pt>
                  <c:pt idx="9">
                    <c:v>0.12246086544162409</c:v>
                  </c:pt>
                  <c:pt idx="10">
                    <c:v>2.9099210650826879E-2</c:v>
                  </c:pt>
                  <c:pt idx="11">
                    <c:v>4.03594109637666E-2</c:v>
                  </c:pt>
                  <c:pt idx="12">
                    <c:v>2.9244584149856343E-2</c:v>
                  </c:pt>
                  <c:pt idx="13">
                    <c:v>8.6490520238212285E-2</c:v>
                  </c:pt>
                  <c:pt idx="14">
                    <c:v>3.6504837939045423E-2</c:v>
                  </c:pt>
                  <c:pt idx="15">
                    <c:v>5.9024375735503828E-2</c:v>
                  </c:pt>
                  <c:pt idx="16">
                    <c:v>1.9155899417051512E-2</c:v>
                  </c:pt>
                  <c:pt idx="17">
                    <c:v>3.5456274109270443E-2</c:v>
                  </c:pt>
                  <c:pt idx="18">
                    <c:v>2.5414787168569344E-2</c:v>
                  </c:pt>
                  <c:pt idx="19">
                    <c:v>3.62110479487344E-2</c:v>
                  </c:pt>
                  <c:pt idx="20">
                    <c:v>1.6157207595296791E-2</c:v>
                  </c:pt>
                  <c:pt idx="21">
                    <c:v>1.8126828601485533E-2</c:v>
                  </c:pt>
                  <c:pt idx="22">
                    <c:v>9.3041538371059468E-2</c:v>
                  </c:pt>
                  <c:pt idx="23">
                    <c:v>2.8586647760596131E-2</c:v>
                  </c:pt>
                  <c:pt idx="24">
                    <c:v>3.1835349863980553E-2</c:v>
                  </c:pt>
                  <c:pt idx="25">
                    <c:v>6.6502887657487839E-2</c:v>
                  </c:pt>
                  <c:pt idx="26">
                    <c:v>0.10355828313990273</c:v>
                  </c:pt>
                  <c:pt idx="27">
                    <c:v>0.13842677542193399</c:v>
                  </c:pt>
                  <c:pt idx="28">
                    <c:v>0.22133620019898384</c:v>
                  </c:pt>
                  <c:pt idx="29">
                    <c:v>0.20219196735882458</c:v>
                  </c:pt>
                  <c:pt idx="30">
                    <c:v>0.21815913562374128</c:v>
                  </c:pt>
                  <c:pt idx="31">
                    <c:v>0.10687843505300121</c:v>
                  </c:pt>
                  <c:pt idx="32">
                    <c:v>0.10196035901764955</c:v>
                  </c:pt>
                  <c:pt idx="33">
                    <c:v>0.10842058591158889</c:v>
                  </c:pt>
                  <c:pt idx="34">
                    <c:v>0.14163054105257611</c:v>
                  </c:pt>
                  <c:pt idx="35">
                    <c:v>0.27453241406694651</c:v>
                  </c:pt>
                  <c:pt idx="36">
                    <c:v>0.10345331439394448</c:v>
                  </c:pt>
                  <c:pt idx="37">
                    <c:v>0.11110214016895492</c:v>
                  </c:pt>
                  <c:pt idx="38">
                    <c:v>0.29839354181022143</c:v>
                  </c:pt>
                  <c:pt idx="39">
                    <c:v>0.12661504448262162</c:v>
                  </c:pt>
                  <c:pt idx="40">
                    <c:v>0.14070614663775369</c:v>
                  </c:pt>
                  <c:pt idx="41">
                    <c:v>5.9305351344000716E-2</c:v>
                  </c:pt>
                  <c:pt idx="42">
                    <c:v>0.65412916120314324</c:v>
                  </c:pt>
                  <c:pt idx="43">
                    <c:v>0.15771388416483603</c:v>
                  </c:pt>
                  <c:pt idx="44">
                    <c:v>0.58521576537752462</c:v>
                  </c:pt>
                  <c:pt idx="45">
                    <c:v>6.4307029553167361E-2</c:v>
                  </c:pt>
                </c:numCache>
              </c:numRef>
            </c:plus>
            <c:minus>
              <c:numRef>
                <c:f>'Summary Data'!$L$3:$L$48</c:f>
                <c:numCache>
                  <c:formatCode>General</c:formatCode>
                  <c:ptCount val="46"/>
                  <c:pt idx="0">
                    <c:v>2.9189293036205658E-2</c:v>
                  </c:pt>
                  <c:pt idx="1">
                    <c:v>3.4277522771186439E-2</c:v>
                  </c:pt>
                  <c:pt idx="2">
                    <c:v>5.6238694456314207E-2</c:v>
                  </c:pt>
                  <c:pt idx="3">
                    <c:v>4.5141749924317125E-2</c:v>
                  </c:pt>
                  <c:pt idx="4">
                    <c:v>6.6877165030796049E-2</c:v>
                  </c:pt>
                  <c:pt idx="5">
                    <c:v>3.557293128573126E-2</c:v>
                  </c:pt>
                  <c:pt idx="6">
                    <c:v>4.901246685520004E-2</c:v>
                  </c:pt>
                  <c:pt idx="7">
                    <c:v>5.342996071979228E-2</c:v>
                  </c:pt>
                  <c:pt idx="8">
                    <c:v>1.2651106239905605E-2</c:v>
                  </c:pt>
                  <c:pt idx="9">
                    <c:v>0.12246086544162409</c:v>
                  </c:pt>
                  <c:pt idx="10">
                    <c:v>2.9099210650826879E-2</c:v>
                  </c:pt>
                  <c:pt idx="11">
                    <c:v>4.03594109637666E-2</c:v>
                  </c:pt>
                  <c:pt idx="12">
                    <c:v>2.9244584149856343E-2</c:v>
                  </c:pt>
                  <c:pt idx="13">
                    <c:v>8.6490520238212285E-2</c:v>
                  </c:pt>
                  <c:pt idx="14">
                    <c:v>3.6504837939045423E-2</c:v>
                  </c:pt>
                  <c:pt idx="15">
                    <c:v>5.9024375735503828E-2</c:v>
                  </c:pt>
                  <c:pt idx="16">
                    <c:v>1.9155899417051512E-2</c:v>
                  </c:pt>
                  <c:pt idx="17">
                    <c:v>3.5456274109270443E-2</c:v>
                  </c:pt>
                  <c:pt idx="18">
                    <c:v>2.5414787168569344E-2</c:v>
                  </c:pt>
                  <c:pt idx="19">
                    <c:v>3.62110479487344E-2</c:v>
                  </c:pt>
                  <c:pt idx="20">
                    <c:v>1.6157207595296791E-2</c:v>
                  </c:pt>
                  <c:pt idx="21">
                    <c:v>1.8126828601485533E-2</c:v>
                  </c:pt>
                  <c:pt idx="22">
                    <c:v>9.3041538371059468E-2</c:v>
                  </c:pt>
                  <c:pt idx="23">
                    <c:v>2.8586647760596131E-2</c:v>
                  </c:pt>
                  <c:pt idx="24">
                    <c:v>3.1835349863980553E-2</c:v>
                  </c:pt>
                  <c:pt idx="25">
                    <c:v>6.6502887657487839E-2</c:v>
                  </c:pt>
                  <c:pt idx="26">
                    <c:v>0.10355828313990273</c:v>
                  </c:pt>
                  <c:pt idx="27">
                    <c:v>0.13842677542193399</c:v>
                  </c:pt>
                  <c:pt idx="28">
                    <c:v>0.22133620019898384</c:v>
                  </c:pt>
                  <c:pt idx="29">
                    <c:v>0.20219196735882458</c:v>
                  </c:pt>
                  <c:pt idx="30">
                    <c:v>0.21815913562374128</c:v>
                  </c:pt>
                  <c:pt idx="31">
                    <c:v>0.10687843505300121</c:v>
                  </c:pt>
                  <c:pt idx="32">
                    <c:v>0.10196035901764955</c:v>
                  </c:pt>
                  <c:pt idx="33">
                    <c:v>0.10842058591158889</c:v>
                  </c:pt>
                  <c:pt idx="34">
                    <c:v>0.14163054105257611</c:v>
                  </c:pt>
                  <c:pt idx="35">
                    <c:v>0.27453241406694651</c:v>
                  </c:pt>
                  <c:pt idx="36">
                    <c:v>0.10345331439394448</c:v>
                  </c:pt>
                  <c:pt idx="37">
                    <c:v>0.11110214016895492</c:v>
                  </c:pt>
                  <c:pt idx="38">
                    <c:v>0.29839354181022143</c:v>
                  </c:pt>
                  <c:pt idx="39">
                    <c:v>0.12661504448262162</c:v>
                  </c:pt>
                  <c:pt idx="40">
                    <c:v>0.14070614663775369</c:v>
                  </c:pt>
                  <c:pt idx="41">
                    <c:v>5.9305351344000716E-2</c:v>
                  </c:pt>
                  <c:pt idx="42">
                    <c:v>0.65412916120314324</c:v>
                  </c:pt>
                  <c:pt idx="43">
                    <c:v>0.15771388416483603</c:v>
                  </c:pt>
                  <c:pt idx="44">
                    <c:v>0.58521576537752462</c:v>
                  </c:pt>
                  <c:pt idx="45">
                    <c:v>6.4307029553167361E-2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'Summary Data'!$I$3:$I$48</c:f>
              <c:numCache>
                <c:formatCode>0</c:formatCode>
                <c:ptCount val="46"/>
                <c:pt idx="0">
                  <c:v>284.71322631800001</c:v>
                </c:pt>
                <c:pt idx="1">
                  <c:v>294.68939209000001</c:v>
                </c:pt>
                <c:pt idx="2">
                  <c:v>303.63504028300002</c:v>
                </c:pt>
                <c:pt idx="3">
                  <c:v>316</c:v>
                </c:pt>
                <c:pt idx="4">
                  <c:v>343.36782836899999</c:v>
                </c:pt>
                <c:pt idx="5">
                  <c:v>377.78582763700001</c:v>
                </c:pt>
                <c:pt idx="6">
                  <c:v>396.48348999000001</c:v>
                </c:pt>
                <c:pt idx="7">
                  <c:v>436.990478516</c:v>
                </c:pt>
                <c:pt idx="8">
                  <c:v>459.41976928700001</c:v>
                </c:pt>
                <c:pt idx="9">
                  <c:v>506.78582763700001</c:v>
                </c:pt>
                <c:pt idx="10">
                  <c:v>821.85357666000004</c:v>
                </c:pt>
                <c:pt idx="11">
                  <c:v>821.85357666000004</c:v>
                </c:pt>
                <c:pt idx="12">
                  <c:v>887.72674560500002</c:v>
                </c:pt>
                <c:pt idx="13">
                  <c:v>887.72674560500002</c:v>
                </c:pt>
                <c:pt idx="14">
                  <c:v>915.71697998000002</c:v>
                </c:pt>
                <c:pt idx="15">
                  <c:v>915.71697998000002</c:v>
                </c:pt>
                <c:pt idx="16">
                  <c:v>954.46228027300003</c:v>
                </c:pt>
                <c:pt idx="17">
                  <c:v>954.46228027300003</c:v>
                </c:pt>
                <c:pt idx="18">
                  <c:v>995.80053710899995</c:v>
                </c:pt>
                <c:pt idx="19">
                  <c:v>995.80053710899995</c:v>
                </c:pt>
                <c:pt idx="20">
                  <c:v>1113.4626464800001</c:v>
                </c:pt>
                <c:pt idx="21">
                  <c:v>1159.1307373</c:v>
                </c:pt>
                <c:pt idx="22">
                  <c:v>1206.9226074200001</c:v>
                </c:pt>
                <c:pt idx="23">
                  <c:v>1289.3337402300001</c:v>
                </c:pt>
                <c:pt idx="24">
                  <c:v>1340.0395507799999</c:v>
                </c:pt>
                <c:pt idx="25">
                  <c:v>1441.8370361299999</c:v>
                </c:pt>
                <c:pt idx="26">
                  <c:v>1526.9757080100001</c:v>
                </c:pt>
                <c:pt idx="27">
                  <c:v>1577.5518798799999</c:v>
                </c:pt>
                <c:pt idx="28">
                  <c:v>1710.6140136700001</c:v>
                </c:pt>
                <c:pt idx="29">
                  <c:v>1759.0534668</c:v>
                </c:pt>
                <c:pt idx="30">
                  <c:v>1807.7528076200001</c:v>
                </c:pt>
                <c:pt idx="31">
                  <c:v>1902.74255371</c:v>
                </c:pt>
                <c:pt idx="32">
                  <c:v>2035.1241455100001</c:v>
                </c:pt>
                <c:pt idx="33">
                  <c:v>2122.2141113299999</c:v>
                </c:pt>
                <c:pt idx="34">
                  <c:v>2162.6936035200001</c:v>
                </c:pt>
                <c:pt idx="35">
                  <c:v>2176.1313476599998</c:v>
                </c:pt>
                <c:pt idx="36">
                  <c:v>2238.2409668</c:v>
                </c:pt>
                <c:pt idx="37">
                  <c:v>2310.1774902299999</c:v>
                </c:pt>
                <c:pt idx="38">
                  <c:v>2429.2712402299999</c:v>
                </c:pt>
                <c:pt idx="39">
                  <c:v>2585.2856445299999</c:v>
                </c:pt>
                <c:pt idx="40">
                  <c:v>2686.2336425799999</c:v>
                </c:pt>
                <c:pt idx="41">
                  <c:v>2818.2167968799999</c:v>
                </c:pt>
                <c:pt idx="42">
                  <c:v>2916.2229003900002</c:v>
                </c:pt>
                <c:pt idx="43">
                  <c:v>3018.20703125</c:v>
                </c:pt>
                <c:pt idx="44">
                  <c:v>3123.3532714799999</c:v>
                </c:pt>
                <c:pt idx="45">
                  <c:v>3237.9897460900002</c:v>
                </c:pt>
              </c:numCache>
            </c:numRef>
          </c:xVal>
          <c:yVal>
            <c:numRef>
              <c:f>'Summary Data'!$H$3:$H$48</c:f>
              <c:numCache>
                <c:formatCode>0.000</c:formatCode>
                <c:ptCount val="46"/>
                <c:pt idx="0">
                  <c:v>8.0431256868811668E-2</c:v>
                </c:pt>
                <c:pt idx="1">
                  <c:v>8.3205174572622151E-2</c:v>
                </c:pt>
                <c:pt idx="2">
                  <c:v>8.379174694399015E-2</c:v>
                </c:pt>
                <c:pt idx="3">
                  <c:v>7.3890947887429975E-2</c:v>
                </c:pt>
                <c:pt idx="4">
                  <c:v>0.12482468435656566</c:v>
                </c:pt>
                <c:pt idx="5">
                  <c:v>9.172348306743705E-2</c:v>
                </c:pt>
                <c:pt idx="6">
                  <c:v>9.565749188511051E-2</c:v>
                </c:pt>
                <c:pt idx="7">
                  <c:v>0.10687380077118516</c:v>
                </c:pt>
                <c:pt idx="8">
                  <c:v>0.23973412680738809</c:v>
                </c:pt>
                <c:pt idx="9">
                  <c:v>0.23574774918900882</c:v>
                </c:pt>
                <c:pt idx="10">
                  <c:v>0.10946635171228686</c:v>
                </c:pt>
                <c:pt idx="11">
                  <c:v>0.13279148799110208</c:v>
                </c:pt>
                <c:pt idx="12">
                  <c:v>0.13467249018683153</c:v>
                </c:pt>
                <c:pt idx="13">
                  <c:v>0.15642195214654317</c:v>
                </c:pt>
                <c:pt idx="14">
                  <c:v>0.17793124366195565</c:v>
                </c:pt>
                <c:pt idx="15">
                  <c:v>0.12652080599173876</c:v>
                </c:pt>
                <c:pt idx="16">
                  <c:v>0.16994390085359368</c:v>
                </c:pt>
                <c:pt idx="17">
                  <c:v>0.12594389257723981</c:v>
                </c:pt>
                <c:pt idx="18">
                  <c:v>0.14342022181182817</c:v>
                </c:pt>
                <c:pt idx="19">
                  <c:v>0.12004873106900554</c:v>
                </c:pt>
                <c:pt idx="20">
                  <c:v>0.16442715767938881</c:v>
                </c:pt>
                <c:pt idx="21">
                  <c:v>0.14203454903294935</c:v>
                </c:pt>
                <c:pt idx="22">
                  <c:v>0.24518030119120401</c:v>
                </c:pt>
                <c:pt idx="23">
                  <c:v>0.21579539043349125</c:v>
                </c:pt>
                <c:pt idx="24">
                  <c:v>0.33358060394137751</c:v>
                </c:pt>
                <c:pt idx="25">
                  <c:v>0.42657656240954339</c:v>
                </c:pt>
                <c:pt idx="26">
                  <c:v>0.46612550346742099</c:v>
                </c:pt>
                <c:pt idx="27">
                  <c:v>0.54927639052295785</c:v>
                </c:pt>
                <c:pt idx="28">
                  <c:v>0.88254208920916588</c:v>
                </c:pt>
                <c:pt idx="29">
                  <c:v>0.8138131511635841</c:v>
                </c:pt>
                <c:pt idx="30">
                  <c:v>0.78949576881547368</c:v>
                </c:pt>
                <c:pt idx="31">
                  <c:v>0.85906628226891302</c:v>
                </c:pt>
                <c:pt idx="32">
                  <c:v>0.73894023022751265</c:v>
                </c:pt>
                <c:pt idx="33">
                  <c:v>0.65520952130409693</c:v>
                </c:pt>
                <c:pt idx="34">
                  <c:v>0.80836348126450863</c:v>
                </c:pt>
                <c:pt idx="35">
                  <c:v>0.84212438672295598</c:v>
                </c:pt>
                <c:pt idx="36">
                  <c:v>0.78606608235858932</c:v>
                </c:pt>
                <c:pt idx="37">
                  <c:v>0.66808833053723449</c:v>
                </c:pt>
                <c:pt idx="38">
                  <c:v>0.95900432836711691</c:v>
                </c:pt>
                <c:pt idx="39">
                  <c:v>0.75405542137763693</c:v>
                </c:pt>
                <c:pt idx="40">
                  <c:v>0.75686526178288804</c:v>
                </c:pt>
                <c:pt idx="41">
                  <c:v>0.84986427871121073</c:v>
                </c:pt>
                <c:pt idx="42">
                  <c:v>1.8036543506648626</c:v>
                </c:pt>
                <c:pt idx="43">
                  <c:v>1.5279912200287069</c:v>
                </c:pt>
                <c:pt idx="44">
                  <c:v>2.3182328957902829</c:v>
                </c:pt>
                <c:pt idx="45">
                  <c:v>2.0918991906828732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6-B246-B9C5-6502E734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391999"/>
        <c:axId val="1030390207"/>
      </c:scatterChart>
      <c:valAx>
        <c:axId val="1030391999"/>
        <c:scaling>
          <c:orientation val="minMax"/>
          <c:max val="3250"/>
          <c:min val="25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030390207"/>
        <c:crosses val="autoZero"/>
        <c:crossBetween val="midCat"/>
      </c:valAx>
      <c:valAx>
        <c:axId val="1030390207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03039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6350</xdr:rowOff>
    </xdr:from>
    <xdr:to>
      <xdr:col>19</xdr:col>
      <xdr:colOff>520700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767F2-3B0F-2D5B-2259-C8EC8948E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tanford/PhD/PhD%20Lab/Projects/Thesis_Hawaii/Kohala%20Gradient/Data/Soil%20Moisture_Summary.xlsx" TargetMode="External"/><Relationship Id="rId2" Type="http://schemas.openxmlformats.org/officeDocument/2006/relationships/externalLinkPath" Target="/Users/epaulus/Library/Mobile%20Documents/com~apple~CloudDocs/Stanford/PhD/PhD%20Lab/Projects/Thesis_Hawaii/Kohala%20Gradient/Data/Soil%20Moisture_Summary.xlsx" TargetMode="External"/><Relationship Id="rId1" Type="http://schemas.openxmlformats.org/officeDocument/2006/relationships/externalLinkPath" Target="/Users/epaulus/Library/Mobile%20Documents/com~apple~CloudDocs/Stanford/PhD/PhD%20Lab/Projects/Thesis_Hawaii/Kohala%20Gradient/Data/Soil%20Moisture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2018"/>
      <sheetName val="2019"/>
      <sheetName val="2021"/>
    </sheetNames>
    <sheetDataSet>
      <sheetData sheetId="0" refreshError="1"/>
      <sheetData sheetId="1" refreshError="1"/>
      <sheetData sheetId="2" refreshError="1"/>
      <sheetData sheetId="3">
        <row r="2">
          <cell r="M2">
            <v>0.68315108822311377</v>
          </cell>
          <cell r="N2">
            <v>1</v>
          </cell>
        </row>
        <row r="5">
          <cell r="M5">
            <v>0.65412391728254116</v>
          </cell>
          <cell r="N5">
            <v>2</v>
          </cell>
        </row>
        <row r="8">
          <cell r="M8">
            <v>0.62658002325659812</v>
          </cell>
          <cell r="N8">
            <v>3</v>
          </cell>
        </row>
        <row r="11">
          <cell r="M11">
            <v>0.58623858057354283</v>
          </cell>
          <cell r="N11">
            <v>4</v>
          </cell>
        </row>
        <row r="14">
          <cell r="M14">
            <v>0.47616892777580816</v>
          </cell>
          <cell r="N14">
            <v>5</v>
          </cell>
        </row>
        <row r="17">
          <cell r="M17">
            <v>0.39269825785339285</v>
          </cell>
          <cell r="N17">
            <v>6</v>
          </cell>
        </row>
        <row r="20">
          <cell r="M20">
            <v>0.46819767558410469</v>
          </cell>
          <cell r="N20">
            <v>7</v>
          </cell>
        </row>
        <row r="23">
          <cell r="M23">
            <v>0.41988106895604882</v>
          </cell>
          <cell r="N23">
            <v>8</v>
          </cell>
        </row>
        <row r="26">
          <cell r="M26">
            <v>0.43795065931673971</v>
          </cell>
          <cell r="N26">
            <v>9</v>
          </cell>
        </row>
        <row r="29">
          <cell r="M29">
            <v>0.37892836442788019</v>
          </cell>
          <cell r="N29">
            <v>10</v>
          </cell>
        </row>
        <row r="32">
          <cell r="M32">
            <v>0.36760373491777704</v>
          </cell>
          <cell r="N32">
            <v>11</v>
          </cell>
        </row>
        <row r="35">
          <cell r="M35">
            <v>0.38080189764840472</v>
          </cell>
          <cell r="N35">
            <v>12</v>
          </cell>
        </row>
        <row r="38">
          <cell r="M38">
            <v>0.34972809204365324</v>
          </cell>
          <cell r="N38">
            <v>13</v>
          </cell>
        </row>
        <row r="41">
          <cell r="M41">
            <v>0.40802688736074355</v>
          </cell>
          <cell r="N41">
            <v>14</v>
          </cell>
        </row>
        <row r="44">
          <cell r="M44">
            <v>0.44326424703628459</v>
          </cell>
          <cell r="N44">
            <v>15</v>
          </cell>
        </row>
        <row r="47">
          <cell r="M47">
            <v>0.31351346554374898</v>
          </cell>
          <cell r="N47">
            <v>16</v>
          </cell>
        </row>
        <row r="50">
          <cell r="M50">
            <v>0.35584861880655438</v>
          </cell>
          <cell r="N50">
            <v>17</v>
          </cell>
        </row>
        <row r="53">
          <cell r="M53">
            <v>0.35724709159993839</v>
          </cell>
          <cell r="N53">
            <v>18</v>
          </cell>
        </row>
        <row r="56">
          <cell r="M56">
            <v>0.23805602151049368</v>
          </cell>
          <cell r="N56">
            <v>19</v>
          </cell>
        </row>
        <row r="59">
          <cell r="M59">
            <v>0.23742265940617255</v>
          </cell>
          <cell r="N59">
            <v>20</v>
          </cell>
        </row>
        <row r="62">
          <cell r="M62">
            <v>0.22693642264474567</v>
          </cell>
          <cell r="N62">
            <v>21</v>
          </cell>
        </row>
        <row r="65">
          <cell r="M65">
            <v>0.22712832219796072</v>
          </cell>
          <cell r="N65">
            <v>22</v>
          </cell>
        </row>
        <row r="68">
          <cell r="M68">
            <v>0.14022969874972016</v>
          </cell>
          <cell r="N68">
            <v>23</v>
          </cell>
        </row>
        <row r="71">
          <cell r="M71">
            <v>0.11250286514310155</v>
          </cell>
          <cell r="N71">
            <v>24</v>
          </cell>
        </row>
        <row r="74">
          <cell r="M74">
            <v>0.11193601178969632</v>
          </cell>
          <cell r="N74">
            <v>25</v>
          </cell>
        </row>
        <row r="77">
          <cell r="M77">
            <v>0.14206468687186916</v>
          </cell>
          <cell r="N77">
            <v>26</v>
          </cell>
        </row>
        <row r="80">
          <cell r="M80">
            <v>0.10595976998650003</v>
          </cell>
          <cell r="N80">
            <v>27</v>
          </cell>
        </row>
        <row r="83">
          <cell r="M83">
            <v>0.12356206152718276</v>
          </cell>
          <cell r="N83">
            <v>28</v>
          </cell>
        </row>
        <row r="86">
          <cell r="M86">
            <v>0.12303675295760945</v>
          </cell>
          <cell r="N86">
            <v>29</v>
          </cell>
        </row>
        <row r="89">
          <cell r="M89">
            <v>0.10524873826002401</v>
          </cell>
          <cell r="N89">
            <v>30</v>
          </cell>
        </row>
        <row r="92">
          <cell r="M92">
            <v>7.1497220887598842E-2</v>
          </cell>
          <cell r="N92">
            <v>31</v>
          </cell>
        </row>
        <row r="95">
          <cell r="M95">
            <v>6.9513410794626571E-2</v>
          </cell>
          <cell r="N95">
            <v>32</v>
          </cell>
        </row>
        <row r="98">
          <cell r="M98">
            <v>8.2991122960895586E-2</v>
          </cell>
          <cell r="N98">
            <v>33</v>
          </cell>
        </row>
        <row r="101">
          <cell r="M101">
            <v>6.3237439075584864E-2</v>
          </cell>
          <cell r="N101">
            <v>34</v>
          </cell>
        </row>
        <row r="104">
          <cell r="M104">
            <v>6.5368152914832556E-2</v>
          </cell>
          <cell r="N104">
            <v>35</v>
          </cell>
        </row>
        <row r="107">
          <cell r="M107">
            <v>8.4597841033980117E-2</v>
          </cell>
          <cell r="N107">
            <v>36</v>
          </cell>
        </row>
        <row r="110">
          <cell r="M110">
            <v>0.26372845421472552</v>
          </cell>
          <cell r="N110">
            <v>37</v>
          </cell>
        </row>
        <row r="113">
          <cell r="M113">
            <v>0.20153099699544011</v>
          </cell>
          <cell r="N113">
            <v>38</v>
          </cell>
        </row>
        <row r="116">
          <cell r="M116">
            <v>5.0733973087781957E-2</v>
          </cell>
          <cell r="N116">
            <v>39</v>
          </cell>
        </row>
        <row r="119">
          <cell r="M119">
            <v>4.4573417445494805E-2</v>
          </cell>
          <cell r="N119">
            <v>40</v>
          </cell>
        </row>
        <row r="122">
          <cell r="M122">
            <v>5.317011265673597E-2</v>
          </cell>
          <cell r="N122">
            <v>41</v>
          </cell>
        </row>
        <row r="125">
          <cell r="M125">
            <v>5.4772610355731242E-2</v>
          </cell>
          <cell r="N125">
            <v>42</v>
          </cell>
        </row>
        <row r="128">
          <cell r="M128">
            <v>2.7945031572765327E-2</v>
          </cell>
          <cell r="N128">
            <v>43</v>
          </cell>
        </row>
        <row r="131">
          <cell r="M131">
            <v>2.6819557455864493E-2</v>
          </cell>
          <cell r="N131">
            <v>44</v>
          </cell>
        </row>
        <row r="134">
          <cell r="M134">
            <v>2.8359279235846389E-2</v>
          </cell>
          <cell r="N134">
            <v>45</v>
          </cell>
        </row>
        <row r="137">
          <cell r="M137">
            <v>4.6642332219809353E-2</v>
          </cell>
          <cell r="N137">
            <v>46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036D7E-22DC-3B4C-B36A-AA41262281A8}" name="Table2" displayName="Table2" ref="D2:L48" totalsRowShown="0">
  <autoFilter ref="D2:L48" xr:uid="{8A036D7E-22DC-3B4C-B36A-AA41262281A8}"/>
  <sortState xmlns:xlrd2="http://schemas.microsoft.com/office/spreadsheetml/2017/richdata2" ref="D3:I48">
    <sortCondition ref="I2:I48"/>
  </sortState>
  <tableColumns count="9">
    <tableColumn id="1" xr3:uid="{971694D4-2EB9-B348-94BC-D6639B2C3B96}" name="Puanui Site"/>
    <tableColumn id="2" xr3:uid="{CFF9E8CE-8551-4D4D-8199-39183C9F6311}" name="2018"/>
    <tableColumn id="3" xr3:uid="{F88FDDBC-3948-AA48-B566-7FDFEBA9EB9D}" name="2019"/>
    <tableColumn id="4" xr3:uid="{EF6EF0FB-3AD6-4044-9EC8-B8C374D736EE}" name="Avg 2021"/>
    <tableColumn id="5" xr3:uid="{AB9029FF-7C4E-C94E-989E-C28D9C2AFCD8}" name="Overall Avg" dataDxfId="3">
      <calculatedColumnFormula>AVERAGE(E3:G3)</calculatedColumnFormula>
    </tableColumn>
    <tableColumn id="6" xr3:uid="{2DAD4F09-9EDB-4D41-B51F-9F4F9F73153F}" name="MAP (mm)" dataDxfId="4"/>
    <tableColumn id="7" xr3:uid="{A9359F01-0AAB-E349-84AE-39A1EA4B00EA}" name="SD" dataDxfId="2">
      <calculatedColumnFormula>_xlfn.STDEV.S(Table2[[#This Row],[2018]:[Avg 2021]])</calculatedColumnFormula>
    </tableColumn>
    <tableColumn id="8" xr3:uid="{2642A2C9-3578-F64C-A621-065B1AD0E6FA}" name="Count" dataDxfId="1">
      <calculatedColumnFormula>COUNT(Table2[[#This Row],[2018]:[Avg 2021]])</calculatedColumnFormula>
    </tableColumn>
    <tableColumn id="9" xr3:uid="{3BB64EAC-18E1-AE46-8D0A-F5BFF375FE8D}" name="SEM" dataDxfId="0">
      <calculatedColumnFormula>Table2[[#This Row],[SD]]/SQRT(Table2[[#This Row],[Count]])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AACF-B13C-4E4E-8EC0-B76090196E59}">
  <dimension ref="A1:L52"/>
  <sheetViews>
    <sheetView tabSelected="1" workbookViewId="0">
      <selection activeCell="B8" sqref="B8"/>
    </sheetView>
  </sheetViews>
  <sheetFormatPr baseColWidth="10" defaultRowHeight="16" x14ac:dyDescent="0.2"/>
  <cols>
    <col min="1" max="1" width="6.83203125" customWidth="1"/>
    <col min="2" max="2" width="25.6640625" customWidth="1"/>
    <col min="3" max="3" width="14.33203125" customWidth="1"/>
    <col min="4" max="4" width="12.5" customWidth="1"/>
    <col min="8" max="8" width="12.33203125" style="2" customWidth="1"/>
    <col min="9" max="9" width="12.83203125" customWidth="1"/>
  </cols>
  <sheetData>
    <row r="1" spans="1:12" x14ac:dyDescent="0.2">
      <c r="A1" s="7" t="s">
        <v>161</v>
      </c>
      <c r="B1" s="6" t="s">
        <v>163</v>
      </c>
      <c r="C1" s="13"/>
      <c r="E1" t="s">
        <v>227</v>
      </c>
    </row>
    <row r="2" spans="1:12" x14ac:dyDescent="0.2">
      <c r="A2" s="7"/>
      <c r="B2" s="5" t="s">
        <v>162</v>
      </c>
      <c r="C2" s="5"/>
      <c r="D2" t="s">
        <v>12</v>
      </c>
      <c r="E2" t="s">
        <v>240</v>
      </c>
      <c r="F2" t="s">
        <v>241</v>
      </c>
      <c r="G2" t="s">
        <v>237</v>
      </c>
      <c r="H2" s="2" t="s">
        <v>238</v>
      </c>
      <c r="I2" t="s">
        <v>239</v>
      </c>
      <c r="J2" t="s">
        <v>242</v>
      </c>
      <c r="K2" t="s">
        <v>243</v>
      </c>
      <c r="L2" t="s">
        <v>244</v>
      </c>
    </row>
    <row r="3" spans="1:12" x14ac:dyDescent="0.2">
      <c r="D3" t="s">
        <v>212</v>
      </c>
      <c r="E3">
        <v>0.13026521060842433</v>
      </c>
      <c r="F3">
        <v>8.1848236687453432E-2</v>
      </c>
      <c r="G3">
        <v>2.9180323310557237E-2</v>
      </c>
      <c r="H3" s="2">
        <f>AVERAGE(E3:G3)</f>
        <v>8.0431256868811668E-2</v>
      </c>
      <c r="I3" s="14">
        <v>284.71322631800001</v>
      </c>
      <c r="J3">
        <f>_xlfn.STDEV.S(Table2[[#This Row],[2018]:[Avg 2021]])</f>
        <v>5.0557338575724614E-2</v>
      </c>
      <c r="K3">
        <f>COUNT(Table2[[#This Row],[2018]:[Avg 2021]])</f>
        <v>3</v>
      </c>
      <c r="L3">
        <f>Table2[[#This Row],[SD]]/SQRT(Table2[[#This Row],[Count]])</f>
        <v>2.9189293036205658E-2</v>
      </c>
    </row>
    <row r="4" spans="1:12" x14ac:dyDescent="0.2">
      <c r="D4" t="s">
        <v>214</v>
      </c>
      <c r="F4">
        <v>0.11748269734380858</v>
      </c>
      <c r="G4">
        <v>4.8927651801435733E-2</v>
      </c>
      <c r="H4" s="2">
        <f>AVERAGE(E4:G4)</f>
        <v>8.3205174572622151E-2</v>
      </c>
      <c r="I4" s="14">
        <v>294.68939209000001</v>
      </c>
      <c r="J4">
        <f>_xlfn.STDEV.S(Table2[[#This Row],[2018]:[Avg 2021]])</f>
        <v>4.847573758756446E-2</v>
      </c>
      <c r="K4">
        <f>COUNT(Table2[[#This Row],[2018]:[Avg 2021]])</f>
        <v>2</v>
      </c>
      <c r="L4">
        <f>Table2[[#This Row],[SD]]/SQRT(Table2[[#This Row],[Count]])</f>
        <v>3.4277522771186439E-2</v>
      </c>
    </row>
    <row r="5" spans="1:12" x14ac:dyDescent="0.2">
      <c r="D5" t="s">
        <v>211</v>
      </c>
      <c r="F5">
        <v>0.14003044140030435</v>
      </c>
      <c r="G5">
        <v>2.755305248767596E-2</v>
      </c>
      <c r="H5" s="2">
        <f>AVERAGE(E5:G5)</f>
        <v>8.379174694399015E-2</v>
      </c>
      <c r="I5" s="14">
        <v>303.63504028300002</v>
      </c>
      <c r="J5">
        <f>_xlfn.STDEV.S(Table2[[#This Row],[2018]:[Avg 2021]])</f>
        <v>7.9533524430276156E-2</v>
      </c>
      <c r="K5">
        <f>COUNT(Table2[[#This Row],[2018]:[Avg 2021]])</f>
        <v>2</v>
      </c>
      <c r="L5">
        <f>Table2[[#This Row],[SD]]/SQRT(Table2[[#This Row],[Count]])</f>
        <v>5.6238694456314207E-2</v>
      </c>
    </row>
    <row r="6" spans="1:12" x14ac:dyDescent="0.2">
      <c r="D6" t="s">
        <v>210</v>
      </c>
      <c r="F6">
        <v>0.11903269781174712</v>
      </c>
      <c r="G6">
        <v>2.8749197963112819E-2</v>
      </c>
      <c r="H6" s="2">
        <f>AVERAGE(E6:G6)</f>
        <v>7.3890947887429975E-2</v>
      </c>
      <c r="I6" s="14">
        <v>316</v>
      </c>
      <c r="J6">
        <f>_xlfn.STDEV.S(Table2[[#This Row],[2018]:[Avg 2021]])</f>
        <v>6.3840074972223923E-2</v>
      </c>
      <c r="K6">
        <f>COUNT(Table2[[#This Row],[2018]:[Avg 2021]])</f>
        <v>2</v>
      </c>
      <c r="L6">
        <f>Table2[[#This Row],[SD]]/SQRT(Table2[[#This Row],[Count]])</f>
        <v>4.5141749924317125E-2</v>
      </c>
    </row>
    <row r="7" spans="1:12" x14ac:dyDescent="0.2">
      <c r="D7" t="s">
        <v>209</v>
      </c>
      <c r="F7">
        <v>0.19170184938736171</v>
      </c>
      <c r="G7">
        <v>5.7947519325769602E-2</v>
      </c>
      <c r="H7" s="2">
        <f>AVERAGE(E7:G7)</f>
        <v>0.12482468435656566</v>
      </c>
      <c r="I7" s="14">
        <v>343.36782836899999</v>
      </c>
      <c r="J7">
        <f>_xlfn.STDEV.S(Table2[[#This Row],[2018]:[Avg 2021]])</f>
        <v>9.4578593799615474E-2</v>
      </c>
      <c r="K7">
        <f>COUNT(Table2[[#This Row],[2018]:[Avg 2021]])</f>
        <v>2</v>
      </c>
      <c r="L7">
        <f>Table2[[#This Row],[SD]]/SQRT(Table2[[#This Row],[Count]])</f>
        <v>6.6877165030796049E-2</v>
      </c>
    </row>
    <row r="8" spans="1:12" x14ac:dyDescent="0.2">
      <c r="D8" t="s">
        <v>208</v>
      </c>
      <c r="F8">
        <v>0.1272964143531683</v>
      </c>
      <c r="G8">
        <v>5.6150551781705811E-2</v>
      </c>
      <c r="H8" s="2">
        <f>AVERAGE(E8:G8)</f>
        <v>9.172348306743705E-2</v>
      </c>
      <c r="I8" s="14">
        <v>377.78582763700001</v>
      </c>
      <c r="J8">
        <f>_xlfn.STDEV.S(Table2[[#This Row],[2018]:[Avg 2021]])</f>
        <v>5.0307721877647336E-2</v>
      </c>
      <c r="K8">
        <f>COUNT(Table2[[#This Row],[2018]:[Avg 2021]])</f>
        <v>2</v>
      </c>
      <c r="L8">
        <f>Table2[[#This Row],[SD]]/SQRT(Table2[[#This Row],[Count]])</f>
        <v>3.557293128573126E-2</v>
      </c>
    </row>
    <row r="9" spans="1:12" x14ac:dyDescent="0.2">
      <c r="D9" t="s">
        <v>207</v>
      </c>
      <c r="F9">
        <v>0.14466995874031055</v>
      </c>
      <c r="G9">
        <v>4.6645025029910463E-2</v>
      </c>
      <c r="H9" s="2">
        <f>AVERAGE(E9:G9)</f>
        <v>9.565749188511051E-2</v>
      </c>
      <c r="I9" s="14">
        <v>396.48348999000001</v>
      </c>
      <c r="J9">
        <f>_xlfn.STDEV.S(Table2[[#This Row],[2018]:[Avg 2021]])</f>
        <v>6.9314095351985697E-2</v>
      </c>
      <c r="K9">
        <f>COUNT(Table2[[#This Row],[2018]:[Avg 2021]])</f>
        <v>2</v>
      </c>
      <c r="L9">
        <f>Table2[[#This Row],[SD]]/SQRT(Table2[[#This Row],[Count]])</f>
        <v>4.901246685520004E-2</v>
      </c>
    </row>
    <row r="10" spans="1:12" x14ac:dyDescent="0.2">
      <c r="D10" t="s">
        <v>206</v>
      </c>
      <c r="F10">
        <v>0.16030376149097744</v>
      </c>
      <c r="G10">
        <v>5.3443840051392875E-2</v>
      </c>
      <c r="H10" s="2">
        <f>AVERAGE(E10:G10)</f>
        <v>0.10687380077118516</v>
      </c>
      <c r="I10" s="14">
        <v>436.990478516</v>
      </c>
      <c r="J10">
        <f>_xlfn.STDEV.S(Table2[[#This Row],[2018]:[Avg 2021]])</f>
        <v>7.5561375086991983E-2</v>
      </c>
      <c r="K10">
        <f>COUNT(Table2[[#This Row],[2018]:[Avg 2021]])</f>
        <v>2</v>
      </c>
      <c r="L10">
        <f>Table2[[#This Row],[SD]]/SQRT(Table2[[#This Row],[Count]])</f>
        <v>5.342996071979228E-2</v>
      </c>
    </row>
    <row r="11" spans="1:12" x14ac:dyDescent="0.2">
      <c r="D11" t="s">
        <v>205</v>
      </c>
      <c r="F11">
        <v>0.2270830205674825</v>
      </c>
      <c r="G11">
        <v>0.25238523304729371</v>
      </c>
      <c r="H11" s="2">
        <f>AVERAGE(E11:G11)</f>
        <v>0.23973412680738809</v>
      </c>
      <c r="I11" s="14">
        <v>459.41976928700001</v>
      </c>
      <c r="J11">
        <f>_xlfn.STDEV.S(Table2[[#This Row],[2018]:[Avg 2021]])</f>
        <v>1.7891366023497397E-2</v>
      </c>
      <c r="K11">
        <f>COUNT(Table2[[#This Row],[2018]:[Avg 2021]])</f>
        <v>2</v>
      </c>
      <c r="L11">
        <f>Table2[[#This Row],[SD]]/SQRT(Table2[[#This Row],[Count]])</f>
        <v>1.2651106239905605E-2</v>
      </c>
    </row>
    <row r="12" spans="1:12" x14ac:dyDescent="0.2">
      <c r="D12" t="s">
        <v>204</v>
      </c>
      <c r="F12">
        <v>0.11328688374738478</v>
      </c>
      <c r="G12">
        <v>0.35820861463063286</v>
      </c>
      <c r="H12" s="2">
        <f>AVERAGE(E12:G12)</f>
        <v>0.23574774918900882</v>
      </c>
      <c r="I12" s="14">
        <v>506.78582763700001</v>
      </c>
      <c r="J12">
        <f>_xlfn.STDEV.S(Table2[[#This Row],[2018]:[Avg 2021]])</f>
        <v>0.17318581676749145</v>
      </c>
      <c r="K12">
        <f>COUNT(Table2[[#This Row],[2018]:[Avg 2021]])</f>
        <v>2</v>
      </c>
      <c r="L12">
        <f>Table2[[#This Row],[SD]]/SQRT(Table2[[#This Row],[Count]])</f>
        <v>0.12246086544162409</v>
      </c>
    </row>
    <row r="13" spans="1:12" x14ac:dyDescent="0.2">
      <c r="D13" t="s">
        <v>198</v>
      </c>
      <c r="E13">
        <v>8.3827265029635917E-2</v>
      </c>
      <c r="F13">
        <v>0.16753266407708212</v>
      </c>
      <c r="G13">
        <v>7.7039126030142555E-2</v>
      </c>
      <c r="H13" s="2">
        <f>AVERAGE(E13:G13)</f>
        <v>0.10946635171228686</v>
      </c>
      <c r="I13" s="14">
        <v>821.85357666000004</v>
      </c>
      <c r="J13">
        <f>_xlfn.STDEV.S(Table2[[#This Row],[2018]:[Avg 2021]])</f>
        <v>5.0401311307381569E-2</v>
      </c>
      <c r="K13">
        <f>COUNT(Table2[[#This Row],[2018]:[Avg 2021]])</f>
        <v>3</v>
      </c>
      <c r="L13">
        <f>Table2[[#This Row],[SD]]/SQRT(Table2[[#This Row],[Count]])</f>
        <v>2.9099210650826879E-2</v>
      </c>
    </row>
    <row r="14" spans="1:12" x14ac:dyDescent="0.2">
      <c r="D14" t="s">
        <v>203</v>
      </c>
      <c r="F14">
        <v>0.17315089895486871</v>
      </c>
      <c r="G14">
        <v>9.2432077027335413E-2</v>
      </c>
      <c r="H14" s="2">
        <f>AVERAGE(E14:G14)</f>
        <v>0.13279148799110208</v>
      </c>
      <c r="I14" s="14">
        <v>821.85357666000004</v>
      </c>
      <c r="J14">
        <f>_xlfn.STDEV.S(Table2[[#This Row],[2018]:[Avg 2021]])</f>
        <v>5.7076826354348117E-2</v>
      </c>
      <c r="K14">
        <f>COUNT(Table2[[#This Row],[2018]:[Avg 2021]])</f>
        <v>2</v>
      </c>
      <c r="L14">
        <f>Table2[[#This Row],[SD]]/SQRT(Table2[[#This Row],[Count]])</f>
        <v>4.03594109637666E-2</v>
      </c>
    </row>
    <row r="15" spans="1:12" x14ac:dyDescent="0.2">
      <c r="D15" t="s">
        <v>197</v>
      </c>
      <c r="E15">
        <v>9.4717668488160212E-2</v>
      </c>
      <c r="F15">
        <v>0.19164241748969627</v>
      </c>
      <c r="G15">
        <v>0.11765738458263812</v>
      </c>
      <c r="H15" s="2">
        <f>AVERAGE(E15:G15)</f>
        <v>0.13467249018683153</v>
      </c>
      <c r="I15" s="14">
        <v>887.72674560500002</v>
      </c>
      <c r="J15">
        <f>_xlfn.STDEV.S(Table2[[#This Row],[2018]:[Avg 2021]])</f>
        <v>5.0653105593774665E-2</v>
      </c>
      <c r="K15">
        <f>COUNT(Table2[[#This Row],[2018]:[Avg 2021]])</f>
        <v>3</v>
      </c>
      <c r="L15">
        <f>Table2[[#This Row],[SD]]/SQRT(Table2[[#This Row],[Count]])</f>
        <v>2.9244584149856343E-2</v>
      </c>
    </row>
    <row r="16" spans="1:12" x14ac:dyDescent="0.2">
      <c r="D16" t="s">
        <v>202</v>
      </c>
      <c r="F16">
        <v>0.24291247238475547</v>
      </c>
      <c r="G16">
        <v>6.9931431908330885E-2</v>
      </c>
      <c r="H16" s="2">
        <f>AVERAGE(E16:G16)</f>
        <v>0.15642195214654317</v>
      </c>
      <c r="I16" s="14">
        <v>887.72674560500002</v>
      </c>
      <c r="J16">
        <f>_xlfn.STDEV.S(Table2[[#This Row],[2018]:[Avg 2021]])</f>
        <v>0.12231606673758448</v>
      </c>
      <c r="K16">
        <f>COUNT(Table2[[#This Row],[2018]:[Avg 2021]])</f>
        <v>2</v>
      </c>
      <c r="L16">
        <f>Table2[[#This Row],[SD]]/SQRT(Table2[[#This Row],[Count]])</f>
        <v>8.6490520238212285E-2</v>
      </c>
    </row>
    <row r="17" spans="4:12" x14ac:dyDescent="0.2">
      <c r="D17" t="s">
        <v>196</v>
      </c>
      <c r="E17">
        <v>0.1425762045231071</v>
      </c>
      <c r="F17">
        <v>0.25092897187601337</v>
      </c>
      <c r="G17">
        <v>0.14028855458674644</v>
      </c>
      <c r="H17" s="2">
        <f>AVERAGE(E17:G17)</f>
        <v>0.17793124366195565</v>
      </c>
      <c r="I17" s="14">
        <v>915.71697998000002</v>
      </c>
      <c r="J17">
        <f>_xlfn.STDEV.S(Table2[[#This Row],[2018]:[Avg 2021]])</f>
        <v>6.3228234032494612E-2</v>
      </c>
      <c r="K17">
        <f>COUNT(Table2[[#This Row],[2018]:[Avg 2021]])</f>
        <v>3</v>
      </c>
      <c r="L17">
        <f>Table2[[#This Row],[SD]]/SQRT(Table2[[#This Row],[Count]])</f>
        <v>3.6504837939045423E-2</v>
      </c>
    </row>
    <row r="18" spans="4:12" x14ac:dyDescent="0.2">
      <c r="D18" t="s">
        <v>201</v>
      </c>
      <c r="F18">
        <v>0.18554518172724258</v>
      </c>
      <c r="G18">
        <v>6.749643025623496E-2</v>
      </c>
      <c r="H18" s="2">
        <f>AVERAGE(E18:G18)</f>
        <v>0.12652080599173876</v>
      </c>
      <c r="I18" s="14">
        <v>915.71697998000002</v>
      </c>
      <c r="J18">
        <f>_xlfn.STDEV.S(Table2[[#This Row],[2018]:[Avg 2021]])</f>
        <v>8.3473072675754947E-2</v>
      </c>
      <c r="K18">
        <f>COUNT(Table2[[#This Row],[2018]:[Avg 2021]])</f>
        <v>2</v>
      </c>
      <c r="L18">
        <f>Table2[[#This Row],[SD]]/SQRT(Table2[[#This Row],[Count]])</f>
        <v>5.9024375735503828E-2</v>
      </c>
    </row>
    <row r="19" spans="4:12" x14ac:dyDescent="0.2">
      <c r="D19" t="s">
        <v>195</v>
      </c>
      <c r="E19">
        <v>0.16272469252601693</v>
      </c>
      <c r="F19">
        <v>0.20613812901046932</v>
      </c>
      <c r="G19">
        <v>0.14096888102429472</v>
      </c>
      <c r="H19" s="2">
        <f>AVERAGE(E19:G19)</f>
        <v>0.16994390085359368</v>
      </c>
      <c r="I19" s="14">
        <v>954.46228027300003</v>
      </c>
      <c r="J19">
        <f>_xlfn.STDEV.S(Table2[[#This Row],[2018]:[Avg 2021]])</f>
        <v>3.3178991055012257E-2</v>
      </c>
      <c r="K19">
        <f>COUNT(Table2[[#This Row],[2018]:[Avg 2021]])</f>
        <v>3</v>
      </c>
      <c r="L19">
        <f>Table2[[#This Row],[SD]]/SQRT(Table2[[#This Row],[Count]])</f>
        <v>1.9155899417051512E-2</v>
      </c>
    </row>
    <row r="20" spans="4:12" x14ac:dyDescent="0.2">
      <c r="D20" t="s">
        <v>200</v>
      </c>
      <c r="F20">
        <v>0.16140016668651033</v>
      </c>
      <c r="G20">
        <v>9.0487618467969266E-2</v>
      </c>
      <c r="H20" s="2">
        <f>AVERAGE(E20:G20)</f>
        <v>0.12594389257723981</v>
      </c>
      <c r="I20" s="14">
        <v>954.46228027300003</v>
      </c>
      <c r="J20">
        <f>_xlfn.STDEV.S(Table2[[#This Row],[2018]:[Avg 2021]])</f>
        <v>5.0142743716548289E-2</v>
      </c>
      <c r="K20">
        <f>COUNT(Table2[[#This Row],[2018]:[Avg 2021]])</f>
        <v>2</v>
      </c>
      <c r="L20">
        <f>Table2[[#This Row],[SD]]/SQRT(Table2[[#This Row],[Count]])</f>
        <v>3.5456274109270443E-2</v>
      </c>
    </row>
    <row r="21" spans="4:12" x14ac:dyDescent="0.2">
      <c r="D21" t="s">
        <v>194</v>
      </c>
      <c r="E21">
        <v>0.11750788643533125</v>
      </c>
      <c r="F21">
        <v>0.19424652782795965</v>
      </c>
      <c r="G21">
        <v>0.11850625117219364</v>
      </c>
      <c r="H21" s="2">
        <f>AVERAGE(E21:G21)</f>
        <v>0.14342022181182817</v>
      </c>
      <c r="I21" s="14">
        <v>995.80053710899995</v>
      </c>
      <c r="J21">
        <f>_xlfn.STDEV.S(Table2[[#This Row],[2018]:[Avg 2021]])</f>
        <v>4.4019702639511667E-2</v>
      </c>
      <c r="K21">
        <f>COUNT(Table2[[#This Row],[2018]:[Avg 2021]])</f>
        <v>3</v>
      </c>
      <c r="L21">
        <f>Table2[[#This Row],[SD]]/SQRT(Table2[[#This Row],[Count]])</f>
        <v>2.5414787168569344E-2</v>
      </c>
    </row>
    <row r="22" spans="4:12" x14ac:dyDescent="0.2">
      <c r="D22" t="s">
        <v>199</v>
      </c>
      <c r="E22">
        <v>9.3824228028503667E-2</v>
      </c>
      <c r="F22">
        <v>0.19162401843966079</v>
      </c>
      <c r="G22">
        <v>7.4697946738852147E-2</v>
      </c>
      <c r="H22" s="2">
        <f>AVERAGE(E22:G22)</f>
        <v>0.12004873106900554</v>
      </c>
      <c r="I22" s="14">
        <v>995.80053710899995</v>
      </c>
      <c r="J22">
        <f>_xlfn.STDEV.S(Table2[[#This Row],[2018]:[Avg 2021]])</f>
        <v>6.2719374842520756E-2</v>
      </c>
      <c r="K22">
        <f>COUNT(Table2[[#This Row],[2018]:[Avg 2021]])</f>
        <v>3</v>
      </c>
      <c r="L22">
        <f>Table2[[#This Row],[SD]]/SQRT(Table2[[#This Row],[Count]])</f>
        <v>3.62110479487344E-2</v>
      </c>
    </row>
    <row r="23" spans="4:12" x14ac:dyDescent="0.2">
      <c r="D23" t="s">
        <v>193</v>
      </c>
      <c r="E23">
        <v>0.13588516746411483</v>
      </c>
      <c r="F23">
        <v>0.19181997307789853</v>
      </c>
      <c r="G23">
        <v>0.16557633249615306</v>
      </c>
      <c r="H23" s="2">
        <f>AVERAGE(E23:G23)</f>
        <v>0.16442715767938881</v>
      </c>
      <c r="I23" s="14">
        <v>1113.4626464800001</v>
      </c>
      <c r="J23">
        <f>_xlfn.STDEV.S(Table2[[#This Row],[2018]:[Avg 2021]])</f>
        <v>2.7985104463491801E-2</v>
      </c>
      <c r="K23">
        <f>COUNT(Table2[[#This Row],[2018]:[Avg 2021]])</f>
        <v>3</v>
      </c>
      <c r="L23">
        <f>Table2[[#This Row],[SD]]/SQRT(Table2[[#This Row],[Count]])</f>
        <v>1.6157207595296791E-2</v>
      </c>
    </row>
    <row r="24" spans="4:12" x14ac:dyDescent="0.2">
      <c r="D24" t="s">
        <v>192</v>
      </c>
      <c r="E24">
        <v>0.17820773930753564</v>
      </c>
      <c r="F24">
        <v>0.12185726633845687</v>
      </c>
      <c r="G24">
        <v>0.12603864145285559</v>
      </c>
      <c r="H24" s="2">
        <f>AVERAGE(E24:G24)</f>
        <v>0.14203454903294935</v>
      </c>
      <c r="I24" s="14">
        <v>1159.1307373</v>
      </c>
      <c r="J24">
        <f>_xlfn.STDEV.S(Table2[[#This Row],[2018]:[Avg 2021]])</f>
        <v>3.1396588117865637E-2</v>
      </c>
      <c r="K24">
        <f>COUNT(Table2[[#This Row],[2018]:[Avg 2021]])</f>
        <v>3</v>
      </c>
      <c r="L24">
        <f>Table2[[#This Row],[SD]]/SQRT(Table2[[#This Row],[Count]])</f>
        <v>1.8126828601485533E-2</v>
      </c>
    </row>
    <row r="25" spans="4:12" x14ac:dyDescent="0.2">
      <c r="D25" t="s">
        <v>191</v>
      </c>
      <c r="E25">
        <v>0.18009049773755642</v>
      </c>
      <c r="F25">
        <v>0.42869762325410826</v>
      </c>
      <c r="G25">
        <v>0.1267527825819473</v>
      </c>
      <c r="H25" s="2">
        <f>AVERAGE(E25:G25)</f>
        <v>0.24518030119120401</v>
      </c>
      <c r="I25" s="14">
        <v>1206.9226074200001</v>
      </c>
      <c r="J25">
        <f>_xlfn.STDEV.S(Table2[[#This Row],[2018]:[Avg 2021]])</f>
        <v>0.16115267167304423</v>
      </c>
      <c r="K25">
        <f>COUNT(Table2[[#This Row],[2018]:[Avg 2021]])</f>
        <v>3</v>
      </c>
      <c r="L25">
        <f>Table2[[#This Row],[SD]]/SQRT(Table2[[#This Row],[Count]])</f>
        <v>9.3041538371059468E-2</v>
      </c>
    </row>
    <row r="26" spans="4:12" x14ac:dyDescent="0.2">
      <c r="D26" t="s">
        <v>190</v>
      </c>
      <c r="E26">
        <v>0.22295701464336318</v>
      </c>
      <c r="F26">
        <v>0.26133812303547371</v>
      </c>
      <c r="G26">
        <v>0.16309103362163682</v>
      </c>
      <c r="H26" s="2">
        <f>AVERAGE(E26:G26)</f>
        <v>0.21579539043349125</v>
      </c>
      <c r="I26" s="14">
        <v>1289.3337402300001</v>
      </c>
      <c r="J26">
        <f>_xlfn.STDEV.S(Table2[[#This Row],[2018]:[Avg 2021]])</f>
        <v>4.9513526339427565E-2</v>
      </c>
      <c r="K26">
        <f>COUNT(Table2[[#This Row],[2018]:[Avg 2021]])</f>
        <v>3</v>
      </c>
      <c r="L26">
        <f>Table2[[#This Row],[SD]]/SQRT(Table2[[#This Row],[Count]])</f>
        <v>2.8586647760596131E-2</v>
      </c>
    </row>
    <row r="27" spans="4:12" x14ac:dyDescent="0.2">
      <c r="D27" t="s">
        <v>189</v>
      </c>
      <c r="E27">
        <v>0.31034482758620685</v>
      </c>
      <c r="F27">
        <v>0.39653602737111027</v>
      </c>
      <c r="G27">
        <v>0.29386095686681546</v>
      </c>
      <c r="H27" s="2">
        <f>AVERAGE(E27:G27)</f>
        <v>0.33358060394137751</v>
      </c>
      <c r="I27" s="14">
        <v>1340.0395507799999</v>
      </c>
      <c r="J27">
        <f>_xlfn.STDEV.S(Table2[[#This Row],[2018]:[Avg 2021]])</f>
        <v>5.5140443441145263E-2</v>
      </c>
      <c r="K27">
        <f>COUNT(Table2[[#This Row],[2018]:[Avg 2021]])</f>
        <v>3</v>
      </c>
      <c r="L27">
        <f>Table2[[#This Row],[SD]]/SQRT(Table2[[#This Row],[Count]])</f>
        <v>3.1835349863980553E-2</v>
      </c>
    </row>
    <row r="28" spans="4:12" x14ac:dyDescent="0.2">
      <c r="D28" t="s">
        <v>188</v>
      </c>
      <c r="E28">
        <v>0.49008723235527357</v>
      </c>
      <c r="F28">
        <v>0.49602744415599226</v>
      </c>
      <c r="G28">
        <v>0.29361501071736423</v>
      </c>
      <c r="H28" s="2">
        <f>AVERAGE(E28:G28)</f>
        <v>0.42657656240954339</v>
      </c>
      <c r="I28" s="14">
        <v>1441.8370361299999</v>
      </c>
      <c r="J28">
        <f>_xlfn.STDEV.S(Table2[[#This Row],[2018]:[Avg 2021]])</f>
        <v>0.11518638027281412</v>
      </c>
      <c r="K28">
        <f>COUNT(Table2[[#This Row],[2018]:[Avg 2021]])</f>
        <v>3</v>
      </c>
      <c r="L28">
        <f>Table2[[#This Row],[SD]]/SQRT(Table2[[#This Row],[Count]])</f>
        <v>6.6502887657487839E-2</v>
      </c>
    </row>
    <row r="29" spans="4:12" x14ac:dyDescent="0.2">
      <c r="D29" t="s">
        <v>225</v>
      </c>
      <c r="E29">
        <v>0.66269165247018735</v>
      </c>
      <c r="F29">
        <v>0.42436026526856696</v>
      </c>
      <c r="G29">
        <v>0.31132459266350859</v>
      </c>
      <c r="H29" s="2">
        <f>AVERAGE(E29:G29)</f>
        <v>0.46612550346742099</v>
      </c>
      <c r="I29" s="14">
        <v>1526.9757080100001</v>
      </c>
      <c r="J29">
        <f>_xlfn.STDEV.S(Table2[[#This Row],[2018]:[Avg 2021]])</f>
        <v>0.17936820794291497</v>
      </c>
      <c r="K29">
        <f>COUNT(Table2[[#This Row],[2018]:[Avg 2021]])</f>
        <v>3</v>
      </c>
      <c r="L29">
        <f>Table2[[#This Row],[SD]]/SQRT(Table2[[#This Row],[Count]])</f>
        <v>0.10355828313990273</v>
      </c>
    </row>
    <row r="30" spans="4:12" x14ac:dyDescent="0.2">
      <c r="D30" t="s">
        <v>186</v>
      </c>
      <c r="E30">
        <v>0.79184100418410019</v>
      </c>
      <c r="F30">
        <v>0.54356969794863519</v>
      </c>
      <c r="G30">
        <v>0.3124184694361381</v>
      </c>
      <c r="H30" s="2">
        <f>AVERAGE(E30:G30)</f>
        <v>0.54927639052295785</v>
      </c>
      <c r="I30" s="14">
        <v>1577.5518798799999</v>
      </c>
      <c r="J30">
        <f>_xlfn.STDEV.S(Table2[[#This Row],[2018]:[Avg 2021]])</f>
        <v>0.23976220815871638</v>
      </c>
      <c r="K30">
        <f>COUNT(Table2[[#This Row],[2018]:[Avg 2021]])</f>
        <v>3</v>
      </c>
      <c r="L30">
        <f>Table2[[#This Row],[SD]]/SQRT(Table2[[#This Row],[Count]])</f>
        <v>0.13842677542193399</v>
      </c>
    </row>
    <row r="31" spans="4:12" x14ac:dyDescent="0.2">
      <c r="D31" t="s">
        <v>185</v>
      </c>
      <c r="E31">
        <v>1.304568527918782</v>
      </c>
      <c r="F31">
        <v>0.7872414634997037</v>
      </c>
      <c r="G31">
        <v>0.55581627620901231</v>
      </c>
      <c r="H31" s="2">
        <f>AVERAGE(E31:G31)</f>
        <v>0.88254208920916588</v>
      </c>
      <c r="I31" s="14">
        <v>1710.6140136700001</v>
      </c>
      <c r="J31">
        <f>_xlfn.STDEV.S(Table2[[#This Row],[2018]:[Avg 2021]])</f>
        <v>0.38336554429887665</v>
      </c>
      <c r="K31">
        <f>COUNT(Table2[[#This Row],[2018]:[Avg 2021]])</f>
        <v>3</v>
      </c>
      <c r="L31">
        <f>Table2[[#This Row],[SD]]/SQRT(Table2[[#This Row],[Count]])</f>
        <v>0.22133620019898384</v>
      </c>
    </row>
    <row r="32" spans="4:12" x14ac:dyDescent="0.2">
      <c r="D32" t="s">
        <v>184</v>
      </c>
      <c r="E32">
        <v>1.2118742724097789</v>
      </c>
      <c r="F32">
        <v>0.67646956491484445</v>
      </c>
      <c r="G32">
        <v>0.55309561616612901</v>
      </c>
      <c r="H32" s="2">
        <f>AVERAGE(E32:G32)</f>
        <v>0.8138131511635841</v>
      </c>
      <c r="I32" s="14">
        <v>1759.0534668</v>
      </c>
      <c r="J32">
        <f>_xlfn.STDEV.S(Table2[[#This Row],[2018]:[Avg 2021]])</f>
        <v>0.35020676034779219</v>
      </c>
      <c r="K32">
        <f>COUNT(Table2[[#This Row],[2018]:[Avg 2021]])</f>
        <v>3</v>
      </c>
      <c r="L32">
        <f>Table2[[#This Row],[SD]]/SQRT(Table2[[#This Row],[Count]])</f>
        <v>0.20219196735882458</v>
      </c>
    </row>
    <row r="33" spans="4:12" x14ac:dyDescent="0.2">
      <c r="D33" t="s">
        <v>183</v>
      </c>
      <c r="E33">
        <v>1.2013333333333336</v>
      </c>
      <c r="F33">
        <v>0.70836717329929988</v>
      </c>
      <c r="G33">
        <v>0.45878679981378778</v>
      </c>
      <c r="H33" s="2">
        <f>AVERAGE(E33:G33)</f>
        <v>0.78949576881547368</v>
      </c>
      <c r="I33" s="14">
        <v>1807.7528076200001</v>
      </c>
      <c r="J33">
        <f>_xlfn.STDEV.S(Table2[[#This Row],[2018]:[Avg 2021]])</f>
        <v>0.3778627070356293</v>
      </c>
      <c r="K33">
        <f>COUNT(Table2[[#This Row],[2018]:[Avg 2021]])</f>
        <v>3</v>
      </c>
      <c r="L33">
        <f>Table2[[#This Row],[SD]]/SQRT(Table2[[#This Row],[Count]])</f>
        <v>0.21815913562374128</v>
      </c>
    </row>
    <row r="34" spans="4:12" x14ac:dyDescent="0.2">
      <c r="D34" t="s">
        <v>182</v>
      </c>
      <c r="E34">
        <v>1.0674300254452926</v>
      </c>
      <c r="F34">
        <v>0.71356356200500326</v>
      </c>
      <c r="G34">
        <v>0.79620525935644315</v>
      </c>
      <c r="H34" s="2">
        <f>AVERAGE(E34:G34)</f>
        <v>0.85906628226891302</v>
      </c>
      <c r="I34" s="14">
        <v>1902.74255371</v>
      </c>
      <c r="J34">
        <f>_xlfn.STDEV.S(Table2[[#This Row],[2018]:[Avg 2021]])</f>
        <v>0.18511887974524854</v>
      </c>
      <c r="K34">
        <f>COUNT(Table2[[#This Row],[2018]:[Avg 2021]])</f>
        <v>3</v>
      </c>
      <c r="L34">
        <f>Table2[[#This Row],[SD]]/SQRT(Table2[[#This Row],[Count]])</f>
        <v>0.10687843505300121</v>
      </c>
    </row>
    <row r="35" spans="4:12" x14ac:dyDescent="0.2">
      <c r="D35" t="s">
        <v>181</v>
      </c>
      <c r="E35">
        <v>0.93503184713375798</v>
      </c>
      <c r="F35">
        <v>0.59242997328537028</v>
      </c>
      <c r="G35">
        <v>0.68935887026340981</v>
      </c>
      <c r="H35" s="2">
        <f>AVERAGE(E35:G35)</f>
        <v>0.73894023022751265</v>
      </c>
      <c r="I35" s="14">
        <v>2035.1241455100001</v>
      </c>
      <c r="J35">
        <f>_xlfn.STDEV.S(Table2[[#This Row],[2018]:[Avg 2021]])</f>
        <v>0.17660052217653255</v>
      </c>
      <c r="K35">
        <f>COUNT(Table2[[#This Row],[2018]:[Avg 2021]])</f>
        <v>3</v>
      </c>
      <c r="L35">
        <f>Table2[[#This Row],[SD]]/SQRT(Table2[[#This Row],[Count]])</f>
        <v>0.10196035901764955</v>
      </c>
    </row>
    <row r="36" spans="4:12" x14ac:dyDescent="0.2">
      <c r="D36" t="s">
        <v>180</v>
      </c>
      <c r="E36">
        <v>0.87179487179487158</v>
      </c>
      <c r="F36">
        <v>0.55603604628832737</v>
      </c>
      <c r="G36">
        <v>0.53779764582909195</v>
      </c>
      <c r="H36" s="2">
        <f>AVERAGE(E36:G36)</f>
        <v>0.65520952130409693</v>
      </c>
      <c r="I36" s="14">
        <v>2122.2141113299999</v>
      </c>
      <c r="J36">
        <f>_xlfn.STDEV.S(Table2[[#This Row],[2018]:[Avg 2021]])</f>
        <v>0.18778996338525836</v>
      </c>
      <c r="K36">
        <f>COUNT(Table2[[#This Row],[2018]:[Avg 2021]])</f>
        <v>3</v>
      </c>
      <c r="L36">
        <f>Table2[[#This Row],[SD]]/SQRT(Table2[[#This Row],[Count]])</f>
        <v>0.10842058591158889</v>
      </c>
    </row>
    <row r="37" spans="4:12" x14ac:dyDescent="0.2">
      <c r="D37" t="s">
        <v>179</v>
      </c>
      <c r="E37">
        <v>1.0843060959792477</v>
      </c>
      <c r="F37">
        <v>0.72579420920216631</v>
      </c>
      <c r="G37">
        <v>0.61499013861211194</v>
      </c>
      <c r="H37" s="2">
        <f>AVERAGE(E37:G37)</f>
        <v>0.80836348126450863</v>
      </c>
      <c r="I37" s="14">
        <v>2162.6936035200001</v>
      </c>
      <c r="J37">
        <f>_xlfn.STDEV.S(Table2[[#This Row],[2018]:[Avg 2021]])</f>
        <v>0.24531129300653148</v>
      </c>
      <c r="K37">
        <f>COUNT(Table2[[#This Row],[2018]:[Avg 2021]])</f>
        <v>3</v>
      </c>
      <c r="L37">
        <f>Table2[[#This Row],[SD]]/SQRT(Table2[[#This Row],[Count]])</f>
        <v>0.14163054105257611</v>
      </c>
    </row>
    <row r="38" spans="4:12" x14ac:dyDescent="0.2">
      <c r="D38" t="s">
        <v>178</v>
      </c>
      <c r="E38">
        <v>1.3909657320872273</v>
      </c>
      <c r="F38">
        <v>0.55413823084527336</v>
      </c>
      <c r="G38">
        <v>0.58126919723636739</v>
      </c>
      <c r="H38" s="2">
        <f>AVERAGE(E38:G38)</f>
        <v>0.84212438672295598</v>
      </c>
      <c r="I38" s="14">
        <v>2176.1313476599998</v>
      </c>
      <c r="J38">
        <f>_xlfn.STDEV.S(Table2[[#This Row],[2018]:[Avg 2021]])</f>
        <v>0.47550408948848805</v>
      </c>
      <c r="K38">
        <f>COUNT(Table2[[#This Row],[2018]:[Avg 2021]])</f>
        <v>3</v>
      </c>
      <c r="L38">
        <f>Table2[[#This Row],[SD]]/SQRT(Table2[[#This Row],[Count]])</f>
        <v>0.27453241406694651</v>
      </c>
    </row>
    <row r="39" spans="4:12" x14ac:dyDescent="0.2">
      <c r="D39" t="s">
        <v>177</v>
      </c>
      <c r="E39">
        <v>0.96830985915492962</v>
      </c>
      <c r="F39">
        <v>0.77978621857989283</v>
      </c>
      <c r="G39">
        <v>0.61010216934094563</v>
      </c>
      <c r="H39" s="2">
        <f>AVERAGE(E39:G39)</f>
        <v>0.78606608235858932</v>
      </c>
      <c r="I39" s="14">
        <v>2238.2409668</v>
      </c>
      <c r="J39">
        <f>_xlfn.STDEV.S(Table2[[#This Row],[2018]:[Avg 2021]])</f>
        <v>0.17918639674170847</v>
      </c>
      <c r="K39">
        <f>COUNT(Table2[[#This Row],[2018]:[Avg 2021]])</f>
        <v>3</v>
      </c>
      <c r="L39">
        <f>Table2[[#This Row],[SD]]/SQRT(Table2[[#This Row],[Count]])</f>
        <v>0.10345331439394448</v>
      </c>
    </row>
    <row r="40" spans="4:12" x14ac:dyDescent="0.2">
      <c r="D40" t="s">
        <v>236</v>
      </c>
      <c r="F40">
        <v>0.55698619036827979</v>
      </c>
      <c r="G40">
        <v>0.7791904707061893</v>
      </c>
      <c r="H40" s="2">
        <f>AVERAGE(E40:G40)</f>
        <v>0.66808833053723449</v>
      </c>
      <c r="I40" s="14">
        <v>2310.1774902299999</v>
      </c>
      <c r="J40">
        <f>_xlfn.STDEV.S(Table2[[#This Row],[2018]:[Avg 2021]])</f>
        <v>0.1571221534356127</v>
      </c>
      <c r="K40">
        <f>COUNT(Table2[[#This Row],[2018]:[Avg 2021]])</f>
        <v>2</v>
      </c>
      <c r="L40">
        <f>Table2[[#This Row],[SD]]/SQRT(Table2[[#This Row],[Count]])</f>
        <v>0.11110214016895492</v>
      </c>
    </row>
    <row r="41" spans="4:12" x14ac:dyDescent="0.2">
      <c r="D41" t="s">
        <v>235</v>
      </c>
      <c r="E41">
        <v>1.5516129032258066</v>
      </c>
      <c r="F41">
        <v>0.60164739861076377</v>
      </c>
      <c r="G41">
        <v>0.72375268326478037</v>
      </c>
      <c r="H41" s="2">
        <f>AVERAGE(E41:G41)</f>
        <v>0.95900432836711691</v>
      </c>
      <c r="I41" s="14">
        <v>2429.2712402299999</v>
      </c>
      <c r="J41">
        <f>_xlfn.STDEV.S(Table2[[#This Row],[2018]:[Avg 2021]])</f>
        <v>0.51683277506573155</v>
      </c>
      <c r="K41">
        <f>COUNT(Table2[[#This Row],[2018]:[Avg 2021]])</f>
        <v>3</v>
      </c>
      <c r="L41">
        <f>Table2[[#This Row],[SD]]/SQRT(Table2[[#This Row],[Count]])</f>
        <v>0.29839354181022143</v>
      </c>
    </row>
    <row r="42" spans="4:12" x14ac:dyDescent="0.2">
      <c r="D42" t="s">
        <v>234</v>
      </c>
      <c r="F42">
        <v>0.62744037689501553</v>
      </c>
      <c r="G42">
        <v>0.88067046586025832</v>
      </c>
      <c r="H42" s="2">
        <f>AVERAGE(E42:G42)</f>
        <v>0.75405542137763693</v>
      </c>
      <c r="I42" s="14">
        <v>2585.2856445299999</v>
      </c>
      <c r="J42">
        <f>_xlfn.STDEV.S(Table2[[#This Row],[2018]:[Avg 2021]])</f>
        <v>0.17906071310779623</v>
      </c>
      <c r="K42">
        <f>COUNT(Table2[[#This Row],[2018]:[Avg 2021]])</f>
        <v>2</v>
      </c>
      <c r="L42">
        <f>Table2[[#This Row],[SD]]/SQRT(Table2[[#This Row],[Count]])</f>
        <v>0.12661504448262162</v>
      </c>
    </row>
    <row r="43" spans="4:12" x14ac:dyDescent="0.2">
      <c r="D43" t="s">
        <v>233</v>
      </c>
      <c r="E43">
        <v>1.0362116991643453</v>
      </c>
      <c r="F43">
        <v>0.58771603510853265</v>
      </c>
      <c r="G43">
        <v>0.64666805107578618</v>
      </c>
      <c r="H43" s="2">
        <f>AVERAGE(E43:G43)</f>
        <v>0.75686526178288804</v>
      </c>
      <c r="I43" s="14">
        <v>2686.2336425799999</v>
      </c>
      <c r="J43">
        <f>_xlfn.STDEV.S(Table2[[#This Row],[2018]:[Avg 2021]])</f>
        <v>0.24371019491382614</v>
      </c>
      <c r="K43">
        <f>COUNT(Table2[[#This Row],[2018]:[Avg 2021]])</f>
        <v>3</v>
      </c>
      <c r="L43">
        <f>Table2[[#This Row],[SD]]/SQRT(Table2[[#This Row],[Count]])</f>
        <v>0.14070614663775369</v>
      </c>
    </row>
    <row r="44" spans="4:12" x14ac:dyDescent="0.2">
      <c r="D44" t="s">
        <v>232</v>
      </c>
      <c r="F44">
        <v>0.79055892736721001</v>
      </c>
      <c r="G44">
        <v>0.90916963005521145</v>
      </c>
      <c r="H44" s="2">
        <f>AVERAGE(E44:G44)</f>
        <v>0.84986427871121073</v>
      </c>
      <c r="I44" s="14">
        <v>2818.2167968799999</v>
      </c>
      <c r="J44">
        <f>_xlfn.STDEV.S(Table2[[#This Row],[2018]:[Avg 2021]])</f>
        <v>8.3870432191987282E-2</v>
      </c>
      <c r="K44">
        <f>COUNT(Table2[[#This Row],[2018]:[Avg 2021]])</f>
        <v>2</v>
      </c>
      <c r="L44">
        <f>Table2[[#This Row],[SD]]/SQRT(Table2[[#This Row],[Count]])</f>
        <v>5.9305351344000716E-2</v>
      </c>
    </row>
    <row r="45" spans="4:12" x14ac:dyDescent="0.2">
      <c r="D45" t="s">
        <v>231</v>
      </c>
      <c r="E45">
        <v>3.078651685393258</v>
      </c>
      <c r="F45">
        <v>0.91230291901475302</v>
      </c>
      <c r="G45">
        <v>1.4200084475865771</v>
      </c>
      <c r="H45" s="2">
        <f>AVERAGE(E45:G45)</f>
        <v>1.8036543506648626</v>
      </c>
      <c r="I45" s="14">
        <v>2916.2229003900002</v>
      </c>
      <c r="J45">
        <f>_xlfn.STDEV.S(Table2[[#This Row],[2018]:[Avg 2021]])</f>
        <v>1.1329849419162565</v>
      </c>
      <c r="K45">
        <f>COUNT(Table2[[#This Row],[2018]:[Avg 2021]])</f>
        <v>3</v>
      </c>
      <c r="L45">
        <f>Table2[[#This Row],[SD]]/SQRT(Table2[[#This Row],[Count]])</f>
        <v>0.65412916120314324</v>
      </c>
    </row>
    <row r="46" spans="4:12" x14ac:dyDescent="0.2">
      <c r="D46" t="s">
        <v>230</v>
      </c>
      <c r="F46">
        <v>1.370277335863872</v>
      </c>
      <c r="G46">
        <v>1.685705104193542</v>
      </c>
      <c r="H46" s="2">
        <f>AVERAGE(E46:G46)</f>
        <v>1.5279912200287069</v>
      </c>
      <c r="I46" s="14">
        <v>3018.20703125</v>
      </c>
      <c r="J46">
        <f>_xlfn.STDEV.S(Table2[[#This Row],[2018]:[Avg 2021]])</f>
        <v>0.22304111396045045</v>
      </c>
      <c r="K46">
        <f>COUNT(Table2[[#This Row],[2018]:[Avg 2021]])</f>
        <v>2</v>
      </c>
      <c r="L46">
        <f>Table2[[#This Row],[SD]]/SQRT(Table2[[#This Row],[Count]])</f>
        <v>0.15771388416483603</v>
      </c>
    </row>
    <row r="47" spans="4:12" x14ac:dyDescent="0.2">
      <c r="D47" t="s">
        <v>229</v>
      </c>
      <c r="E47">
        <v>3.4750000000000001</v>
      </c>
      <c r="F47">
        <v>1.5854152927027971</v>
      </c>
      <c r="G47">
        <v>1.8942833946680515</v>
      </c>
      <c r="H47" s="2">
        <f>AVERAGE(E47:G47)</f>
        <v>2.3182328957902829</v>
      </c>
      <c r="I47" s="14">
        <v>3123.3532714799999</v>
      </c>
      <c r="J47">
        <f>_xlfn.STDEV.S(Table2[[#This Row],[2018]:[Avg 2021]])</f>
        <v>1.0136234390241801</v>
      </c>
      <c r="K47">
        <f>COUNT(Table2[[#This Row],[2018]:[Avg 2021]])</f>
        <v>3</v>
      </c>
      <c r="L47">
        <f>Table2[[#This Row],[SD]]/SQRT(Table2[[#This Row],[Count]])</f>
        <v>0.58521576537752462</v>
      </c>
    </row>
    <row r="48" spans="4:12" x14ac:dyDescent="0.2">
      <c r="D48" t="s">
        <v>228</v>
      </c>
      <c r="F48">
        <v>2.0275921611297059</v>
      </c>
      <c r="G48">
        <v>2.1562062202360406</v>
      </c>
      <c r="H48" s="2">
        <f>AVERAGE(E48:G48)</f>
        <v>2.0918991906828732</v>
      </c>
      <c r="I48" s="14">
        <v>3237.9897460900002</v>
      </c>
      <c r="J48">
        <f>_xlfn.STDEV.S(Table2[[#This Row],[2018]:[Avg 2021]])</f>
        <v>9.0943873350016718E-2</v>
      </c>
      <c r="K48">
        <f>COUNT(Table2[[#This Row],[2018]:[Avg 2021]])</f>
        <v>2</v>
      </c>
      <c r="L48">
        <f>Table2[[#This Row],[SD]]/SQRT(Table2[[#This Row],[Count]])</f>
        <v>6.4307029553167361E-2</v>
      </c>
    </row>
    <row r="51" spans="9:9" x14ac:dyDescent="0.2">
      <c r="I51" s="14"/>
    </row>
    <row r="52" spans="9:9" x14ac:dyDescent="0.2">
      <c r="I52" s="14"/>
    </row>
  </sheetData>
  <mergeCells count="1">
    <mergeCell ref="A1:A2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5E13-79D9-8243-B8DE-6CE48A234175}">
  <dimension ref="A1:G47"/>
  <sheetViews>
    <sheetView workbookViewId="0">
      <selection activeCell="G3" sqref="G3:G46"/>
    </sheetView>
  </sheetViews>
  <sheetFormatPr baseColWidth="10" defaultRowHeight="16" x14ac:dyDescent="0.2"/>
  <cols>
    <col min="1" max="1" width="11.5" customWidth="1"/>
    <col min="2" max="2" width="20.83203125" customWidth="1"/>
    <col min="3" max="3" width="19.1640625" customWidth="1"/>
    <col min="4" max="4" width="16" customWidth="1"/>
    <col min="5" max="5" width="15.83203125" customWidth="1"/>
    <col min="6" max="6" width="18.1640625" customWidth="1"/>
    <col min="7" max="7" width="24.1640625" customWidth="1"/>
  </cols>
  <sheetData>
    <row r="1" spans="1:7" s="11" customFormat="1" x14ac:dyDescent="0.2">
      <c r="A1" s="10" t="s">
        <v>164</v>
      </c>
      <c r="B1" s="10" t="s">
        <v>213</v>
      </c>
      <c r="C1" s="10" t="s">
        <v>165</v>
      </c>
      <c r="D1" s="10" t="s">
        <v>166</v>
      </c>
      <c r="E1" s="10" t="s">
        <v>167</v>
      </c>
      <c r="F1" s="10" t="s">
        <v>215</v>
      </c>
      <c r="G1" s="11" t="s">
        <v>159</v>
      </c>
    </row>
    <row r="2" spans="1:7" x14ac:dyDescent="0.2">
      <c r="A2" s="8" t="s">
        <v>168</v>
      </c>
      <c r="B2" s="9"/>
      <c r="C2" s="9"/>
      <c r="D2" s="9"/>
      <c r="E2" s="9"/>
      <c r="F2" s="9"/>
      <c r="G2" s="8"/>
    </row>
    <row r="3" spans="1:7" x14ac:dyDescent="0.2">
      <c r="A3" s="8" t="s">
        <v>169</v>
      </c>
      <c r="B3" s="9">
        <v>23.27</v>
      </c>
      <c r="C3" s="9">
        <v>6.47</v>
      </c>
      <c r="D3" s="9">
        <v>1.27</v>
      </c>
      <c r="E3" s="9">
        <v>5.2</v>
      </c>
      <c r="F3" s="9">
        <v>18.07</v>
      </c>
      <c r="G3" s="9">
        <f>(B3-E3)/E3</f>
        <v>3.4750000000000001</v>
      </c>
    </row>
    <row r="4" spans="1:7" x14ac:dyDescent="0.2">
      <c r="A4" s="8" t="s">
        <v>170</v>
      </c>
      <c r="B4" s="9"/>
      <c r="C4" s="9"/>
      <c r="D4" s="9"/>
      <c r="E4" s="9"/>
      <c r="F4" s="9"/>
      <c r="G4" s="9"/>
    </row>
    <row r="5" spans="1:7" x14ac:dyDescent="0.2">
      <c r="A5" s="8" t="s">
        <v>171</v>
      </c>
      <c r="B5" s="9">
        <v>18.149999999999999</v>
      </c>
      <c r="C5" s="9">
        <v>5.77</v>
      </c>
      <c r="D5" s="9">
        <v>1.32</v>
      </c>
      <c r="E5" s="9">
        <v>4.45</v>
      </c>
      <c r="F5" s="9">
        <v>13.7</v>
      </c>
      <c r="G5" s="9">
        <f>(B5-E5)/E5</f>
        <v>3.078651685393258</v>
      </c>
    </row>
    <row r="6" spans="1:7" x14ac:dyDescent="0.2">
      <c r="A6" s="8" t="s">
        <v>172</v>
      </c>
      <c r="B6" s="9"/>
      <c r="C6" s="9"/>
      <c r="D6" s="9"/>
      <c r="E6" s="9"/>
      <c r="F6" s="9"/>
      <c r="G6" s="9"/>
    </row>
    <row r="7" spans="1:7" x14ac:dyDescent="0.2">
      <c r="A7" s="8" t="s">
        <v>173</v>
      </c>
      <c r="B7" s="9">
        <v>14.62</v>
      </c>
      <c r="C7" s="9">
        <v>8.5</v>
      </c>
      <c r="D7" s="9">
        <v>1.32</v>
      </c>
      <c r="E7" s="9">
        <v>7.18</v>
      </c>
      <c r="F7" s="9">
        <v>7.44</v>
      </c>
      <c r="G7" s="9">
        <f>(B7-E7)/E7</f>
        <v>1.0362116991643453</v>
      </c>
    </row>
    <row r="8" spans="1:7" x14ac:dyDescent="0.2">
      <c r="A8" s="8" t="s">
        <v>174</v>
      </c>
      <c r="B8" s="9"/>
      <c r="C8" s="9"/>
      <c r="D8" s="9"/>
      <c r="E8" s="9"/>
      <c r="F8" s="9"/>
      <c r="G8" s="9"/>
    </row>
    <row r="9" spans="1:7" x14ac:dyDescent="0.2">
      <c r="A9" s="8" t="s">
        <v>175</v>
      </c>
      <c r="B9" s="9">
        <v>15.82</v>
      </c>
      <c r="C9" s="9">
        <v>7.25</v>
      </c>
      <c r="D9" s="9">
        <v>1.05</v>
      </c>
      <c r="E9" s="9">
        <v>6.2</v>
      </c>
      <c r="F9" s="9">
        <v>9.6199999999999992</v>
      </c>
      <c r="G9" s="9">
        <f>(B9-E9)/E9</f>
        <v>1.5516129032258066</v>
      </c>
    </row>
    <row r="10" spans="1:7" x14ac:dyDescent="0.2">
      <c r="A10" s="8" t="s">
        <v>176</v>
      </c>
      <c r="B10" s="9"/>
      <c r="C10" s="9"/>
      <c r="D10" s="9"/>
      <c r="E10" s="9"/>
      <c r="F10" s="9"/>
      <c r="G10" s="9"/>
    </row>
    <row r="11" spans="1:7" x14ac:dyDescent="0.2">
      <c r="A11" s="8" t="s">
        <v>177</v>
      </c>
      <c r="B11" s="9">
        <v>16.77</v>
      </c>
      <c r="C11" s="9">
        <v>9.81</v>
      </c>
      <c r="D11" s="9">
        <v>1.29</v>
      </c>
      <c r="E11" s="9">
        <v>8.52</v>
      </c>
      <c r="F11" s="9">
        <v>8.25</v>
      </c>
      <c r="G11" s="9">
        <f>(B11-E11)/E11</f>
        <v>0.96830985915492962</v>
      </c>
    </row>
    <row r="12" spans="1:7" x14ac:dyDescent="0.2">
      <c r="A12" s="8" t="s">
        <v>178</v>
      </c>
      <c r="B12" s="9">
        <v>15.35</v>
      </c>
      <c r="C12" s="9">
        <v>7.71</v>
      </c>
      <c r="D12" s="9">
        <v>1.29</v>
      </c>
      <c r="E12" s="9">
        <v>6.42</v>
      </c>
      <c r="F12" s="9">
        <v>8.93</v>
      </c>
      <c r="G12" s="9">
        <f t="shared" ref="G12:G33" si="0">(B12-E12)/E12</f>
        <v>1.3909657320872273</v>
      </c>
    </row>
    <row r="13" spans="1:7" x14ac:dyDescent="0.2">
      <c r="A13" s="8" t="s">
        <v>179</v>
      </c>
      <c r="B13" s="9">
        <v>16.07</v>
      </c>
      <c r="C13" s="9">
        <v>8.73</v>
      </c>
      <c r="D13" s="9">
        <v>1.02</v>
      </c>
      <c r="E13" s="9">
        <v>7.71</v>
      </c>
      <c r="F13" s="9">
        <v>8.36</v>
      </c>
      <c r="G13" s="9">
        <f t="shared" si="0"/>
        <v>1.0843060959792477</v>
      </c>
    </row>
    <row r="14" spans="1:7" x14ac:dyDescent="0.2">
      <c r="A14" s="8" t="s">
        <v>180</v>
      </c>
      <c r="B14" s="9">
        <v>16.059999999999999</v>
      </c>
      <c r="C14" s="9">
        <v>9.83</v>
      </c>
      <c r="D14" s="9">
        <v>1.25</v>
      </c>
      <c r="E14" s="9">
        <v>8.58</v>
      </c>
      <c r="F14" s="9">
        <v>7.48</v>
      </c>
      <c r="G14" s="9">
        <f t="shared" si="0"/>
        <v>0.87179487179487158</v>
      </c>
    </row>
    <row r="15" spans="1:7" x14ac:dyDescent="0.2">
      <c r="A15" s="8" t="s">
        <v>181</v>
      </c>
      <c r="B15" s="9">
        <v>15.19</v>
      </c>
      <c r="C15" s="9">
        <v>9.14</v>
      </c>
      <c r="D15" s="9">
        <v>1.29</v>
      </c>
      <c r="E15" s="9">
        <v>7.85</v>
      </c>
      <c r="F15" s="9">
        <v>7.34</v>
      </c>
      <c r="G15" s="9">
        <f t="shared" si="0"/>
        <v>0.93503184713375798</v>
      </c>
    </row>
    <row r="16" spans="1:7" x14ac:dyDescent="0.2">
      <c r="A16" s="8" t="s">
        <v>182</v>
      </c>
      <c r="B16" s="9">
        <v>16.25</v>
      </c>
      <c r="C16" s="9">
        <v>9.15</v>
      </c>
      <c r="D16" s="9">
        <v>1.29</v>
      </c>
      <c r="E16" s="9">
        <v>7.86</v>
      </c>
      <c r="F16" s="9">
        <v>8.39</v>
      </c>
      <c r="G16" s="9">
        <f t="shared" si="0"/>
        <v>1.0674300254452926</v>
      </c>
    </row>
    <row r="17" spans="1:7" x14ac:dyDescent="0.2">
      <c r="A17" s="8" t="s">
        <v>183</v>
      </c>
      <c r="B17" s="9">
        <v>16.510000000000002</v>
      </c>
      <c r="C17" s="9">
        <v>8.7799999999999994</v>
      </c>
      <c r="D17" s="9">
        <v>1.28</v>
      </c>
      <c r="E17" s="9">
        <v>7.5</v>
      </c>
      <c r="F17" s="9">
        <v>9.01</v>
      </c>
      <c r="G17" s="9">
        <f t="shared" si="0"/>
        <v>1.2013333333333336</v>
      </c>
    </row>
    <row r="18" spans="1:7" x14ac:dyDescent="0.2">
      <c r="A18" s="8" t="s">
        <v>184</v>
      </c>
      <c r="B18" s="9">
        <v>19</v>
      </c>
      <c r="C18" s="9">
        <v>9.8699999999999992</v>
      </c>
      <c r="D18" s="9">
        <v>1.27</v>
      </c>
      <c r="E18" s="9">
        <v>8.59</v>
      </c>
      <c r="F18" s="9">
        <v>10.41</v>
      </c>
      <c r="G18" s="9">
        <f t="shared" si="0"/>
        <v>1.2118742724097789</v>
      </c>
    </row>
    <row r="19" spans="1:7" x14ac:dyDescent="0.2">
      <c r="A19" s="8" t="s">
        <v>185</v>
      </c>
      <c r="B19" s="9">
        <v>18.16</v>
      </c>
      <c r="C19" s="9">
        <v>9.11</v>
      </c>
      <c r="D19" s="9">
        <v>1.23</v>
      </c>
      <c r="E19" s="9">
        <v>7.88</v>
      </c>
      <c r="F19" s="9">
        <v>10.28</v>
      </c>
      <c r="G19" s="9">
        <f t="shared" si="0"/>
        <v>1.304568527918782</v>
      </c>
    </row>
    <row r="20" spans="1:7" x14ac:dyDescent="0.2">
      <c r="A20" s="8" t="s">
        <v>186</v>
      </c>
      <c r="B20" s="9">
        <v>17.13</v>
      </c>
      <c r="C20" s="9">
        <v>10.88</v>
      </c>
      <c r="D20" s="9">
        <v>1.32</v>
      </c>
      <c r="E20" s="9">
        <v>9.56</v>
      </c>
      <c r="F20" s="9">
        <v>7.58</v>
      </c>
      <c r="G20" s="9">
        <f t="shared" si="0"/>
        <v>0.79184100418410019</v>
      </c>
    </row>
    <row r="21" spans="1:7" x14ac:dyDescent="0.2">
      <c r="A21" s="8" t="s">
        <v>187</v>
      </c>
      <c r="B21" s="9">
        <v>19.52</v>
      </c>
      <c r="C21" s="9">
        <v>12.99</v>
      </c>
      <c r="D21" s="9">
        <v>1.25</v>
      </c>
      <c r="E21" s="9">
        <v>11.74</v>
      </c>
      <c r="F21" s="9">
        <v>7.77</v>
      </c>
      <c r="G21" s="9">
        <f t="shared" si="0"/>
        <v>0.66269165247018735</v>
      </c>
    </row>
    <row r="22" spans="1:7" x14ac:dyDescent="0.2">
      <c r="A22" s="8" t="s">
        <v>188</v>
      </c>
      <c r="B22" s="9">
        <v>18.79</v>
      </c>
      <c r="C22" s="9">
        <v>13.85</v>
      </c>
      <c r="D22" s="9">
        <v>1.24</v>
      </c>
      <c r="E22" s="9">
        <v>12.61</v>
      </c>
      <c r="F22" s="9">
        <v>6.18</v>
      </c>
      <c r="G22" s="9">
        <f t="shared" si="0"/>
        <v>0.49008723235527357</v>
      </c>
    </row>
    <row r="23" spans="1:7" x14ac:dyDescent="0.2">
      <c r="A23" s="8" t="s">
        <v>189</v>
      </c>
      <c r="B23" s="9">
        <v>15.58</v>
      </c>
      <c r="C23" s="9">
        <v>13.21</v>
      </c>
      <c r="D23" s="9">
        <v>1.31</v>
      </c>
      <c r="E23" s="9">
        <v>11.89</v>
      </c>
      <c r="F23" s="9">
        <v>3.68</v>
      </c>
      <c r="G23" s="9">
        <f t="shared" si="0"/>
        <v>0.31034482758620685</v>
      </c>
    </row>
    <row r="24" spans="1:7" x14ac:dyDescent="0.2">
      <c r="A24" s="8" t="s">
        <v>190</v>
      </c>
      <c r="B24" s="9">
        <v>25.89</v>
      </c>
      <c r="C24" s="9">
        <v>22.46</v>
      </c>
      <c r="D24" s="9">
        <v>1.29</v>
      </c>
      <c r="E24" s="9">
        <v>21.17</v>
      </c>
      <c r="F24" s="9">
        <v>4.72</v>
      </c>
      <c r="G24" s="9">
        <f t="shared" si="0"/>
        <v>0.22295701464336318</v>
      </c>
    </row>
    <row r="25" spans="1:7" x14ac:dyDescent="0.2">
      <c r="A25" s="8" t="s">
        <v>191</v>
      </c>
      <c r="B25" s="9">
        <v>13.04</v>
      </c>
      <c r="C25" s="9">
        <v>12.34</v>
      </c>
      <c r="D25" s="9">
        <v>1.3</v>
      </c>
      <c r="E25" s="9">
        <v>11.05</v>
      </c>
      <c r="F25" s="9">
        <v>1.99</v>
      </c>
      <c r="G25" s="9">
        <f t="shared" si="0"/>
        <v>0.18009049773755642</v>
      </c>
    </row>
    <row r="26" spans="1:7" x14ac:dyDescent="0.2">
      <c r="A26" s="8" t="s">
        <v>192</v>
      </c>
      <c r="B26" s="9">
        <v>11.57</v>
      </c>
      <c r="C26" s="9">
        <v>11.13</v>
      </c>
      <c r="D26" s="9">
        <v>1.31</v>
      </c>
      <c r="E26" s="9">
        <v>9.82</v>
      </c>
      <c r="F26" s="9">
        <v>1.75</v>
      </c>
      <c r="G26" s="9">
        <f t="shared" si="0"/>
        <v>0.17820773930753564</v>
      </c>
    </row>
    <row r="27" spans="1:7" x14ac:dyDescent="0.2">
      <c r="A27" s="8" t="s">
        <v>193</v>
      </c>
      <c r="B27" s="9">
        <v>11.87</v>
      </c>
      <c r="C27" s="9">
        <v>11.41</v>
      </c>
      <c r="D27" s="9">
        <v>0.96</v>
      </c>
      <c r="E27" s="9">
        <v>10.45</v>
      </c>
      <c r="F27" s="9">
        <v>1.42</v>
      </c>
      <c r="G27" s="9">
        <f>(B27-E27)/E27</f>
        <v>0.13588516746411483</v>
      </c>
    </row>
    <row r="28" spans="1:7" x14ac:dyDescent="0.2">
      <c r="A28" s="8" t="s">
        <v>194</v>
      </c>
      <c r="B28" s="9">
        <v>14.17</v>
      </c>
      <c r="C28" s="9">
        <v>14.01</v>
      </c>
      <c r="D28" s="9">
        <v>1.33</v>
      </c>
      <c r="E28" s="9">
        <v>12.68</v>
      </c>
      <c r="F28" s="9">
        <v>1.48</v>
      </c>
      <c r="G28" s="9">
        <f t="shared" si="0"/>
        <v>0.11750788643533125</v>
      </c>
    </row>
    <row r="29" spans="1:7" x14ac:dyDescent="0.2">
      <c r="A29" s="8" t="s">
        <v>195</v>
      </c>
      <c r="B29" s="9">
        <v>12.29</v>
      </c>
      <c r="C29" s="9">
        <v>11.88</v>
      </c>
      <c r="D29" s="9">
        <v>1.32</v>
      </c>
      <c r="E29" s="9">
        <v>10.57</v>
      </c>
      <c r="F29" s="9">
        <v>1.72</v>
      </c>
      <c r="G29" s="9">
        <f t="shared" si="0"/>
        <v>0.16272469252601693</v>
      </c>
    </row>
    <row r="30" spans="1:7" x14ac:dyDescent="0.2">
      <c r="A30" s="8" t="s">
        <v>196</v>
      </c>
      <c r="B30" s="9">
        <v>11.62</v>
      </c>
      <c r="C30" s="9">
        <v>11.46</v>
      </c>
      <c r="D30" s="9">
        <v>1.29</v>
      </c>
      <c r="E30" s="9">
        <v>10.17</v>
      </c>
      <c r="F30" s="9">
        <v>1.45</v>
      </c>
      <c r="G30" s="9">
        <f t="shared" si="0"/>
        <v>0.1425762045231071</v>
      </c>
    </row>
    <row r="31" spans="1:7" x14ac:dyDescent="0.2">
      <c r="A31" s="8" t="s">
        <v>197</v>
      </c>
      <c r="B31" s="9">
        <v>12.02</v>
      </c>
      <c r="C31" s="9">
        <v>12</v>
      </c>
      <c r="D31" s="9">
        <v>1.02</v>
      </c>
      <c r="E31" s="9">
        <v>10.98</v>
      </c>
      <c r="F31" s="9">
        <v>1.04</v>
      </c>
      <c r="G31" s="9">
        <f t="shared" si="0"/>
        <v>9.4717668488160212E-2</v>
      </c>
    </row>
    <row r="32" spans="1:7" x14ac:dyDescent="0.2">
      <c r="A32" s="8" t="s">
        <v>198</v>
      </c>
      <c r="B32" s="9">
        <v>12.8</v>
      </c>
      <c r="C32" s="9">
        <v>13.13</v>
      </c>
      <c r="D32" s="9">
        <v>1.32</v>
      </c>
      <c r="E32" s="9">
        <v>11.81</v>
      </c>
      <c r="F32" s="9">
        <v>0.99</v>
      </c>
      <c r="G32" s="9">
        <f t="shared" si="0"/>
        <v>8.3827265029635917E-2</v>
      </c>
    </row>
    <row r="33" spans="1:7" x14ac:dyDescent="0.2">
      <c r="A33" s="8" t="s">
        <v>199</v>
      </c>
      <c r="B33" s="9">
        <v>9.2100000000000009</v>
      </c>
      <c r="C33" s="9">
        <v>9.42</v>
      </c>
      <c r="D33" s="9">
        <v>1</v>
      </c>
      <c r="E33" s="9">
        <v>8.42</v>
      </c>
      <c r="F33" s="9">
        <v>0.79</v>
      </c>
      <c r="G33" s="9">
        <f t="shared" si="0"/>
        <v>9.3824228028503667E-2</v>
      </c>
    </row>
    <row r="34" spans="1:7" x14ac:dyDescent="0.2">
      <c r="A34" s="8" t="s">
        <v>200</v>
      </c>
      <c r="B34" s="9"/>
      <c r="C34" s="9"/>
      <c r="D34" s="9"/>
      <c r="E34" s="9"/>
      <c r="F34" s="9"/>
      <c r="G34" s="9"/>
    </row>
    <row r="35" spans="1:7" x14ac:dyDescent="0.2">
      <c r="A35" s="8" t="s">
        <v>201</v>
      </c>
      <c r="B35" s="9"/>
      <c r="C35" s="9"/>
      <c r="D35" s="9"/>
      <c r="E35" s="9"/>
      <c r="F35" s="9"/>
      <c r="G35" s="9"/>
    </row>
    <row r="36" spans="1:7" x14ac:dyDescent="0.2">
      <c r="A36" s="8" t="s">
        <v>202</v>
      </c>
      <c r="B36" s="9"/>
      <c r="C36" s="9"/>
      <c r="D36" s="9"/>
      <c r="E36" s="9"/>
      <c r="F36" s="9"/>
      <c r="G36" s="9"/>
    </row>
    <row r="37" spans="1:7" x14ac:dyDescent="0.2">
      <c r="A37" s="8" t="s">
        <v>203</v>
      </c>
      <c r="B37" s="9"/>
      <c r="C37" s="9"/>
      <c r="D37" s="9"/>
      <c r="E37" s="9"/>
      <c r="F37" s="9"/>
      <c r="G37" s="9"/>
    </row>
    <row r="38" spans="1:7" x14ac:dyDescent="0.2">
      <c r="A38" s="8" t="s">
        <v>204</v>
      </c>
      <c r="B38" s="9"/>
      <c r="C38" s="9"/>
      <c r="D38" s="9"/>
      <c r="E38" s="9"/>
      <c r="F38" s="9"/>
      <c r="G38" s="9"/>
    </row>
    <row r="39" spans="1:7" x14ac:dyDescent="0.2">
      <c r="A39" s="8" t="s">
        <v>205</v>
      </c>
      <c r="B39" s="9"/>
      <c r="C39" s="9"/>
      <c r="D39" s="9"/>
      <c r="E39" s="9"/>
      <c r="F39" s="9"/>
      <c r="G39" s="9"/>
    </row>
    <row r="40" spans="1:7" x14ac:dyDescent="0.2">
      <c r="A40" s="8" t="s">
        <v>206</v>
      </c>
      <c r="B40" s="9"/>
      <c r="C40" s="9"/>
      <c r="D40" s="9"/>
      <c r="E40" s="9"/>
      <c r="F40" s="9"/>
      <c r="G40" s="9"/>
    </row>
    <row r="41" spans="1:7" x14ac:dyDescent="0.2">
      <c r="A41" s="8" t="s">
        <v>207</v>
      </c>
      <c r="B41" s="9"/>
      <c r="C41" s="9"/>
      <c r="D41" s="9"/>
      <c r="E41" s="9"/>
      <c r="F41" s="9"/>
      <c r="G41" s="9"/>
    </row>
    <row r="42" spans="1:7" x14ac:dyDescent="0.2">
      <c r="A42" s="8" t="s">
        <v>208</v>
      </c>
      <c r="B42" s="9"/>
      <c r="C42" s="9"/>
      <c r="D42" s="9"/>
      <c r="E42" s="9"/>
      <c r="F42" s="9"/>
      <c r="G42" s="9"/>
    </row>
    <row r="43" spans="1:7" x14ac:dyDescent="0.2">
      <c r="A43" s="8" t="s">
        <v>209</v>
      </c>
      <c r="B43" s="9"/>
      <c r="C43" s="9"/>
      <c r="D43" s="9"/>
      <c r="E43" s="9"/>
      <c r="F43" s="9"/>
      <c r="G43" s="9"/>
    </row>
    <row r="44" spans="1:7" x14ac:dyDescent="0.2">
      <c r="A44" s="8" t="s">
        <v>210</v>
      </c>
      <c r="B44" s="9"/>
      <c r="C44" s="9"/>
      <c r="D44" s="9"/>
      <c r="E44" s="9"/>
      <c r="F44" s="9"/>
      <c r="G44" s="9"/>
    </row>
    <row r="45" spans="1:7" x14ac:dyDescent="0.2">
      <c r="A45" s="8" t="s">
        <v>211</v>
      </c>
      <c r="B45" s="9"/>
      <c r="C45" s="9"/>
      <c r="D45" s="9"/>
      <c r="E45" s="9"/>
      <c r="F45" s="9"/>
      <c r="G45" s="9"/>
    </row>
    <row r="46" spans="1:7" x14ac:dyDescent="0.2">
      <c r="A46" s="8" t="s">
        <v>212</v>
      </c>
      <c r="B46" s="9">
        <v>14.49</v>
      </c>
      <c r="C46" s="9">
        <v>13.87</v>
      </c>
      <c r="D46" s="9">
        <v>1.05</v>
      </c>
      <c r="E46" s="9">
        <v>12.82</v>
      </c>
      <c r="F46" s="9">
        <v>1.67</v>
      </c>
      <c r="G46" s="9">
        <f>(B46-E46)/E46</f>
        <v>0.13026521060842433</v>
      </c>
    </row>
    <row r="47" spans="1:7" x14ac:dyDescent="0.2">
      <c r="A47" s="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9B1F-47FA-EA4C-BFE6-78DD9F617CEA}">
  <dimension ref="A1:I49"/>
  <sheetViews>
    <sheetView topLeftCell="A32" workbookViewId="0">
      <selection activeCell="H48" sqref="H2:H48"/>
    </sheetView>
  </sheetViews>
  <sheetFormatPr baseColWidth="10" defaultRowHeight="16" x14ac:dyDescent="0.2"/>
  <cols>
    <col min="1" max="1" width="13.5" customWidth="1"/>
    <col min="2" max="2" width="11.5" customWidth="1"/>
    <col min="3" max="3" width="14.1640625" customWidth="1"/>
    <col min="4" max="4" width="23.83203125" customWidth="1"/>
    <col min="5" max="5" width="20.1640625" customWidth="1"/>
    <col min="6" max="6" width="20" customWidth="1"/>
    <col min="7" max="7" width="20.5" customWidth="1"/>
    <col min="8" max="8" width="24" customWidth="1"/>
  </cols>
  <sheetData>
    <row r="1" spans="1:9" x14ac:dyDescent="0.2">
      <c r="A1" t="s">
        <v>216</v>
      </c>
      <c r="C1" t="s">
        <v>217</v>
      </c>
    </row>
    <row r="2" spans="1:9" x14ac:dyDescent="0.2">
      <c r="A2" s="5" t="s">
        <v>218</v>
      </c>
      <c r="B2" s="5" t="s">
        <v>219</v>
      </c>
      <c r="C2" s="5" t="s">
        <v>220</v>
      </c>
      <c r="D2" s="5" t="s">
        <v>221</v>
      </c>
      <c r="E2" s="5" t="s">
        <v>222</v>
      </c>
      <c r="F2" s="5" t="s">
        <v>223</v>
      </c>
      <c r="G2" s="5" t="s">
        <v>224</v>
      </c>
      <c r="H2" s="11" t="s">
        <v>159</v>
      </c>
    </row>
    <row r="3" spans="1:9" x14ac:dyDescent="0.2">
      <c r="A3" t="s">
        <v>168</v>
      </c>
      <c r="B3">
        <v>1</v>
      </c>
      <c r="C3" s="12">
        <v>1.0227999999999999</v>
      </c>
      <c r="D3" s="12">
        <v>26.622</v>
      </c>
      <c r="E3" s="12">
        <v>25.5992</v>
      </c>
      <c r="F3" s="12">
        <v>9.4780999999999995</v>
      </c>
      <c r="G3" s="12">
        <v>8.4552999999999994</v>
      </c>
      <c r="H3" s="12">
        <f>(E3-G3)/G3</f>
        <v>2.0275921611297059</v>
      </c>
    </row>
    <row r="4" spans="1:9" x14ac:dyDescent="0.2">
      <c r="A4" t="s">
        <v>169</v>
      </c>
      <c r="B4">
        <v>2</v>
      </c>
      <c r="C4" s="12">
        <v>1.0079</v>
      </c>
      <c r="D4" s="12">
        <v>27.665600000000001</v>
      </c>
      <c r="E4" s="12">
        <v>26.657700000000002</v>
      </c>
      <c r="F4" s="12">
        <v>11.3187</v>
      </c>
      <c r="G4" s="12">
        <v>10.3108</v>
      </c>
      <c r="H4" s="12">
        <f t="shared" ref="H4:H49" si="0">(E4-G4)/G4</f>
        <v>1.5854152927027971</v>
      </c>
      <c r="I4" s="12"/>
    </row>
    <row r="5" spans="1:9" x14ac:dyDescent="0.2">
      <c r="A5" t="s">
        <v>170</v>
      </c>
      <c r="B5">
        <v>3</v>
      </c>
      <c r="C5" s="12">
        <v>1.0164</v>
      </c>
      <c r="D5" s="12">
        <v>26.4938</v>
      </c>
      <c r="E5" s="12">
        <v>25.477399999999999</v>
      </c>
      <c r="F5" s="12">
        <v>11.7651</v>
      </c>
      <c r="G5" s="12">
        <v>10.748699999999999</v>
      </c>
      <c r="H5" s="12">
        <f t="shared" si="0"/>
        <v>1.370277335863872</v>
      </c>
      <c r="I5" s="12"/>
    </row>
    <row r="6" spans="1:9" x14ac:dyDescent="0.2">
      <c r="A6" t="s">
        <v>171</v>
      </c>
      <c r="B6">
        <v>4</v>
      </c>
      <c r="C6" s="12">
        <v>1.2815000000000001</v>
      </c>
      <c r="D6" s="12">
        <v>19.402100000000001</v>
      </c>
      <c r="E6" s="12">
        <v>18.1206</v>
      </c>
      <c r="F6" s="12">
        <v>10.757300000000001</v>
      </c>
      <c r="G6" s="12">
        <v>9.4758000000000013</v>
      </c>
      <c r="H6" s="12">
        <f t="shared" si="0"/>
        <v>0.91230291901475302</v>
      </c>
      <c r="I6" s="12"/>
    </row>
    <row r="7" spans="1:9" x14ac:dyDescent="0.2">
      <c r="A7" t="s">
        <v>172</v>
      </c>
      <c r="B7">
        <v>5</v>
      </c>
      <c r="C7" s="12">
        <v>1.0102</v>
      </c>
      <c r="D7" s="12">
        <v>23.5793</v>
      </c>
      <c r="E7" s="12">
        <v>22.569099999999999</v>
      </c>
      <c r="F7" s="12">
        <v>13.614699999999999</v>
      </c>
      <c r="G7" s="12">
        <v>12.6045</v>
      </c>
      <c r="H7" s="12">
        <f t="shared" si="0"/>
        <v>0.79055892736721001</v>
      </c>
      <c r="I7" s="12"/>
    </row>
    <row r="8" spans="1:9" x14ac:dyDescent="0.2">
      <c r="A8" t="s">
        <v>173</v>
      </c>
      <c r="B8">
        <v>6</v>
      </c>
      <c r="C8" s="12">
        <v>1.0422</v>
      </c>
      <c r="D8" s="12">
        <v>16.834099999999999</v>
      </c>
      <c r="E8" s="12">
        <v>15.7919</v>
      </c>
      <c r="F8" s="12">
        <v>10.9885</v>
      </c>
      <c r="G8" s="12">
        <v>9.9463000000000008</v>
      </c>
      <c r="H8" s="12">
        <f t="shared" si="0"/>
        <v>0.58771603510853265</v>
      </c>
      <c r="I8" s="12"/>
    </row>
    <row r="9" spans="1:9" x14ac:dyDescent="0.2">
      <c r="A9" t="s">
        <v>174</v>
      </c>
      <c r="B9">
        <v>7</v>
      </c>
      <c r="C9" s="12">
        <v>0.98870000000000002</v>
      </c>
      <c r="D9" s="12">
        <v>18.744399999999999</v>
      </c>
      <c r="E9" s="12">
        <v>17.755699999999997</v>
      </c>
      <c r="F9" s="12">
        <v>11.898899999999999</v>
      </c>
      <c r="G9" s="12">
        <v>10.9102</v>
      </c>
      <c r="H9" s="12">
        <f t="shared" si="0"/>
        <v>0.62744037689501553</v>
      </c>
      <c r="I9" s="12"/>
    </row>
    <row r="10" spans="1:9" x14ac:dyDescent="0.2">
      <c r="A10" t="s">
        <v>175</v>
      </c>
      <c r="B10">
        <v>8</v>
      </c>
      <c r="C10" s="12">
        <v>1.0307999999999999</v>
      </c>
      <c r="D10" s="12">
        <v>20.883700000000001</v>
      </c>
      <c r="E10" s="12">
        <v>19.852900000000002</v>
      </c>
      <c r="F10" s="12">
        <v>13.4261</v>
      </c>
      <c r="G10" s="12">
        <v>12.395300000000001</v>
      </c>
      <c r="H10" s="12">
        <f t="shared" si="0"/>
        <v>0.60164739861076377</v>
      </c>
      <c r="I10" s="12"/>
    </row>
    <row r="11" spans="1:9" x14ac:dyDescent="0.2">
      <c r="A11" t="s">
        <v>176</v>
      </c>
      <c r="B11">
        <v>9</v>
      </c>
      <c r="C11" s="12">
        <v>0.99450000000000005</v>
      </c>
      <c r="D11" s="12">
        <v>23.6678</v>
      </c>
      <c r="E11" s="12">
        <v>22.673300000000001</v>
      </c>
      <c r="F11" s="12">
        <v>15.556800000000001</v>
      </c>
      <c r="G11" s="12">
        <v>14.5623</v>
      </c>
      <c r="H11" s="12">
        <f t="shared" si="0"/>
        <v>0.55698619036827979</v>
      </c>
      <c r="I11" s="12"/>
    </row>
    <row r="12" spans="1:9" x14ac:dyDescent="0.2">
      <c r="A12" t="s">
        <v>177</v>
      </c>
      <c r="B12">
        <v>10</v>
      </c>
      <c r="C12" s="12">
        <v>1.0056</v>
      </c>
      <c r="D12" s="12">
        <v>21.702200000000001</v>
      </c>
      <c r="E12" s="12">
        <v>20.6966</v>
      </c>
      <c r="F12" s="12">
        <v>12.6343</v>
      </c>
      <c r="G12" s="12">
        <v>11.6287</v>
      </c>
      <c r="H12" s="12">
        <f t="shared" si="0"/>
        <v>0.77978621857989283</v>
      </c>
      <c r="I12" s="12"/>
    </row>
    <row r="13" spans="1:9" x14ac:dyDescent="0.2">
      <c r="A13" t="s">
        <v>178</v>
      </c>
      <c r="B13">
        <v>11</v>
      </c>
      <c r="C13" s="12">
        <v>0.98799999999999999</v>
      </c>
      <c r="D13" s="12">
        <v>27.0854</v>
      </c>
      <c r="E13" s="12">
        <v>26.0974</v>
      </c>
      <c r="F13" s="12">
        <v>17.780200000000001</v>
      </c>
      <c r="G13" s="12">
        <v>16.792200000000001</v>
      </c>
      <c r="H13" s="12">
        <f t="shared" si="0"/>
        <v>0.55413823084527336</v>
      </c>
      <c r="I13" s="12"/>
    </row>
    <row r="14" spans="1:9" x14ac:dyDescent="0.2">
      <c r="A14" t="s">
        <v>179</v>
      </c>
      <c r="B14">
        <v>12</v>
      </c>
      <c r="C14" s="12">
        <v>1.0082</v>
      </c>
      <c r="D14" s="12">
        <v>21.244</v>
      </c>
      <c r="E14" s="12">
        <v>20.235800000000001</v>
      </c>
      <c r="F14" s="12">
        <v>12.733700000000001</v>
      </c>
      <c r="G14" s="12">
        <v>11.7255</v>
      </c>
      <c r="H14" s="12">
        <f t="shared" si="0"/>
        <v>0.72579420920216631</v>
      </c>
      <c r="I14" s="12"/>
    </row>
    <row r="15" spans="1:9" x14ac:dyDescent="0.2">
      <c r="A15" t="s">
        <v>180</v>
      </c>
      <c r="B15">
        <v>13</v>
      </c>
      <c r="C15" s="12">
        <v>0.99639999999999995</v>
      </c>
      <c r="D15" s="12">
        <v>22.873799999999999</v>
      </c>
      <c r="E15" s="12">
        <v>21.877399999999998</v>
      </c>
      <c r="F15" s="12">
        <v>15.056100000000001</v>
      </c>
      <c r="G15" s="12">
        <v>14.059700000000001</v>
      </c>
      <c r="H15" s="12">
        <f t="shared" si="0"/>
        <v>0.55603604628832737</v>
      </c>
      <c r="I15" s="12"/>
    </row>
    <row r="16" spans="1:9" x14ac:dyDescent="0.2">
      <c r="A16" t="s">
        <v>181</v>
      </c>
      <c r="B16">
        <v>14</v>
      </c>
      <c r="C16" s="12">
        <v>1.0196000000000001</v>
      </c>
      <c r="D16" s="12">
        <v>19.081099999999999</v>
      </c>
      <c r="E16" s="12">
        <v>18.061499999999999</v>
      </c>
      <c r="F16" s="12">
        <v>12.361700000000001</v>
      </c>
      <c r="G16" s="12">
        <v>11.3421</v>
      </c>
      <c r="H16" s="12">
        <f t="shared" si="0"/>
        <v>0.59242997328537028</v>
      </c>
      <c r="I16" s="12"/>
    </row>
    <row r="17" spans="1:9" x14ac:dyDescent="0.2">
      <c r="A17" t="s">
        <v>182</v>
      </c>
      <c r="B17">
        <v>15</v>
      </c>
      <c r="C17" s="12">
        <v>1.2806</v>
      </c>
      <c r="D17" s="12">
        <v>17.788900000000002</v>
      </c>
      <c r="E17" s="12">
        <v>16.508300000000002</v>
      </c>
      <c r="F17" s="12">
        <v>10.9145</v>
      </c>
      <c r="G17" s="12">
        <v>9.6339000000000006</v>
      </c>
      <c r="H17" s="12">
        <f t="shared" si="0"/>
        <v>0.71356356200500326</v>
      </c>
      <c r="I17" s="12"/>
    </row>
    <row r="18" spans="1:9" x14ac:dyDescent="0.2">
      <c r="A18" t="s">
        <v>183</v>
      </c>
      <c r="B18">
        <v>16</v>
      </c>
      <c r="C18" s="12">
        <v>1.0270999999999999</v>
      </c>
      <c r="D18" s="12">
        <v>18.696400000000001</v>
      </c>
      <c r="E18" s="12">
        <v>17.6693</v>
      </c>
      <c r="F18" s="12">
        <v>11.369899999999999</v>
      </c>
      <c r="G18" s="12">
        <v>10.3428</v>
      </c>
      <c r="H18" s="12">
        <f t="shared" si="0"/>
        <v>0.70836717329929988</v>
      </c>
      <c r="I18" s="12"/>
    </row>
    <row r="19" spans="1:9" x14ac:dyDescent="0.2">
      <c r="A19" t="s">
        <v>184</v>
      </c>
      <c r="B19">
        <v>17</v>
      </c>
      <c r="C19" s="12">
        <v>1.2791999999999999</v>
      </c>
      <c r="D19" s="12">
        <v>20.552900000000001</v>
      </c>
      <c r="E19" s="12">
        <v>19.273700000000002</v>
      </c>
      <c r="F19" s="12">
        <v>12.7758</v>
      </c>
      <c r="G19" s="12">
        <v>11.496600000000001</v>
      </c>
      <c r="H19" s="12">
        <f t="shared" si="0"/>
        <v>0.67646956491484445</v>
      </c>
      <c r="I19" s="12"/>
    </row>
    <row r="20" spans="1:9" x14ac:dyDescent="0.2">
      <c r="A20" t="s">
        <v>185</v>
      </c>
      <c r="B20">
        <v>18</v>
      </c>
      <c r="C20" s="12">
        <v>1.0464</v>
      </c>
      <c r="D20" s="12">
        <v>21.543199999999999</v>
      </c>
      <c r="E20" s="12">
        <v>20.4968</v>
      </c>
      <c r="F20" s="12">
        <v>12.514799999999999</v>
      </c>
      <c r="G20" s="12">
        <v>11.468399999999999</v>
      </c>
      <c r="H20" s="12">
        <f t="shared" si="0"/>
        <v>0.7872414634997037</v>
      </c>
      <c r="I20" s="12"/>
    </row>
    <row r="21" spans="1:9" x14ac:dyDescent="0.2">
      <c r="A21" t="s">
        <v>186</v>
      </c>
      <c r="B21">
        <v>19</v>
      </c>
      <c r="C21" s="12">
        <v>1.0322</v>
      </c>
      <c r="D21" s="12">
        <v>24.922799999999999</v>
      </c>
      <c r="E21" s="12">
        <v>23.890599999999999</v>
      </c>
      <c r="F21" s="12">
        <v>16.509699999999999</v>
      </c>
      <c r="G21" s="12">
        <v>15.477499999999999</v>
      </c>
      <c r="H21" s="12">
        <f t="shared" si="0"/>
        <v>0.54356969794863519</v>
      </c>
      <c r="I21" s="12"/>
    </row>
    <row r="22" spans="1:9" x14ac:dyDescent="0.2">
      <c r="A22" t="s">
        <v>225</v>
      </c>
      <c r="B22">
        <v>20</v>
      </c>
      <c r="C22" s="12">
        <v>1.0530999999999999</v>
      </c>
      <c r="D22" s="12">
        <v>25.666899999999998</v>
      </c>
      <c r="E22" s="12">
        <v>24.613799999999998</v>
      </c>
      <c r="F22" s="12">
        <v>18.3337</v>
      </c>
      <c r="G22" s="12">
        <v>17.2806</v>
      </c>
      <c r="H22" s="12">
        <f t="shared" si="0"/>
        <v>0.42436026526856696</v>
      </c>
      <c r="I22" s="12"/>
    </row>
    <row r="23" spans="1:9" x14ac:dyDescent="0.2">
      <c r="A23" t="s">
        <v>188</v>
      </c>
      <c r="B23">
        <v>21</v>
      </c>
      <c r="C23" s="12">
        <v>1.0349999999999999</v>
      </c>
      <c r="D23" s="12">
        <v>22.011099999999999</v>
      </c>
      <c r="E23" s="12">
        <v>20.976099999999999</v>
      </c>
      <c r="F23" s="12">
        <v>15.0562</v>
      </c>
      <c r="G23" s="12">
        <v>14.0212</v>
      </c>
      <c r="H23" s="12">
        <f t="shared" si="0"/>
        <v>0.49602744415599226</v>
      </c>
      <c r="I23" s="12"/>
    </row>
    <row r="24" spans="1:9" x14ac:dyDescent="0.2">
      <c r="A24" t="s">
        <v>189</v>
      </c>
      <c r="B24">
        <v>22</v>
      </c>
      <c r="C24" s="12">
        <v>0.96730000000000005</v>
      </c>
      <c r="D24" s="12">
        <v>19.988399999999999</v>
      </c>
      <c r="E24" s="12">
        <v>19.021099999999997</v>
      </c>
      <c r="F24" s="12">
        <v>14.5875</v>
      </c>
      <c r="G24" s="12">
        <v>13.620200000000001</v>
      </c>
      <c r="H24" s="12">
        <f t="shared" si="0"/>
        <v>0.39653602737111027</v>
      </c>
      <c r="I24" s="12"/>
    </row>
    <row r="25" spans="1:9" x14ac:dyDescent="0.2">
      <c r="A25" t="s">
        <v>190</v>
      </c>
      <c r="B25">
        <v>23</v>
      </c>
      <c r="C25" s="12">
        <v>0.99950000000000006</v>
      </c>
      <c r="D25" s="12">
        <v>16.729900000000001</v>
      </c>
      <c r="E25" s="12">
        <v>15.730400000000001</v>
      </c>
      <c r="F25" s="12">
        <v>13.470700000000001</v>
      </c>
      <c r="G25" s="12">
        <v>12.471200000000001</v>
      </c>
      <c r="H25" s="12">
        <f t="shared" si="0"/>
        <v>0.26133812303547371</v>
      </c>
      <c r="I25" s="12"/>
    </row>
    <row r="26" spans="1:9" x14ac:dyDescent="0.2">
      <c r="A26" t="s">
        <v>191</v>
      </c>
      <c r="B26">
        <v>24</v>
      </c>
      <c r="C26" s="12">
        <v>0.99350000000000005</v>
      </c>
      <c r="D26" s="12">
        <v>18.1373</v>
      </c>
      <c r="E26" s="12">
        <v>17.143799999999999</v>
      </c>
      <c r="F26" s="12">
        <v>12.9931</v>
      </c>
      <c r="G26" s="12">
        <v>11.999600000000001</v>
      </c>
      <c r="H26" s="12">
        <f t="shared" si="0"/>
        <v>0.42869762325410826</v>
      </c>
      <c r="I26" s="12"/>
    </row>
    <row r="27" spans="1:9" x14ac:dyDescent="0.2">
      <c r="A27" t="s">
        <v>192</v>
      </c>
      <c r="B27">
        <v>25</v>
      </c>
      <c r="C27" s="12">
        <v>1.0548</v>
      </c>
      <c r="D27" s="12">
        <v>18.965699999999998</v>
      </c>
      <c r="E27" s="12">
        <v>17.910899999999998</v>
      </c>
      <c r="F27" s="12">
        <v>17.020199999999999</v>
      </c>
      <c r="G27" s="12">
        <v>15.965399999999999</v>
      </c>
      <c r="H27" s="12">
        <f t="shared" si="0"/>
        <v>0.12185726633845687</v>
      </c>
      <c r="I27" s="12"/>
    </row>
    <row r="28" spans="1:9" x14ac:dyDescent="0.2">
      <c r="A28" t="s">
        <v>193</v>
      </c>
      <c r="B28">
        <v>26</v>
      </c>
      <c r="C28" s="12">
        <v>1.0149999999999999</v>
      </c>
      <c r="D28" s="12">
        <v>13.2333</v>
      </c>
      <c r="E28" s="12">
        <v>12.218299999999999</v>
      </c>
      <c r="F28" s="12">
        <v>11.2668</v>
      </c>
      <c r="G28" s="12">
        <v>10.251799999999999</v>
      </c>
      <c r="H28" s="12">
        <f t="shared" si="0"/>
        <v>0.19181997307789853</v>
      </c>
      <c r="I28" s="12"/>
    </row>
    <row r="29" spans="1:9" x14ac:dyDescent="0.2">
      <c r="A29" t="s">
        <v>194</v>
      </c>
      <c r="B29">
        <v>27</v>
      </c>
      <c r="C29" s="12">
        <v>0.99</v>
      </c>
      <c r="D29" s="12">
        <v>17.5167</v>
      </c>
      <c r="E29" s="12">
        <v>16.526700000000002</v>
      </c>
      <c r="F29" s="12">
        <v>14.8286</v>
      </c>
      <c r="G29" s="12">
        <v>13.8386</v>
      </c>
      <c r="H29" s="12">
        <f t="shared" si="0"/>
        <v>0.19424652782795965</v>
      </c>
      <c r="I29" s="12"/>
    </row>
    <row r="30" spans="1:9" x14ac:dyDescent="0.2">
      <c r="A30" t="s">
        <v>195</v>
      </c>
      <c r="B30">
        <v>28</v>
      </c>
      <c r="C30" s="12">
        <v>1.0258</v>
      </c>
      <c r="D30" s="12">
        <v>18.168399999999998</v>
      </c>
      <c r="E30" s="12">
        <v>17.142599999999998</v>
      </c>
      <c r="F30" s="12">
        <v>15.2386</v>
      </c>
      <c r="G30" s="12">
        <v>14.2128</v>
      </c>
      <c r="H30" s="12">
        <f t="shared" si="0"/>
        <v>0.20613812901046932</v>
      </c>
      <c r="I30" s="12"/>
    </row>
    <row r="31" spans="1:9" x14ac:dyDescent="0.2">
      <c r="A31" t="s">
        <v>196</v>
      </c>
      <c r="B31">
        <v>29</v>
      </c>
      <c r="C31" s="12">
        <v>0.9879</v>
      </c>
      <c r="D31" s="12">
        <v>14.487299999999999</v>
      </c>
      <c r="E31" s="12">
        <v>13.4994</v>
      </c>
      <c r="F31" s="12">
        <v>11.779400000000001</v>
      </c>
      <c r="G31" s="12">
        <v>10.791500000000001</v>
      </c>
      <c r="H31" s="12">
        <f t="shared" si="0"/>
        <v>0.25092897187601337</v>
      </c>
      <c r="I31" s="12"/>
    </row>
    <row r="32" spans="1:9" x14ac:dyDescent="0.2">
      <c r="A32" t="s">
        <v>197</v>
      </c>
      <c r="B32">
        <v>30</v>
      </c>
      <c r="C32" s="12">
        <v>1.0193000000000001</v>
      </c>
      <c r="D32" s="12">
        <v>12.0352</v>
      </c>
      <c r="E32" s="12">
        <v>11.0159</v>
      </c>
      <c r="F32" s="12">
        <v>10.2636</v>
      </c>
      <c r="G32" s="12">
        <v>9.2443000000000008</v>
      </c>
      <c r="H32" s="12">
        <f t="shared" si="0"/>
        <v>0.19164241748969627</v>
      </c>
      <c r="I32" s="12"/>
    </row>
    <row r="33" spans="1:9" x14ac:dyDescent="0.2">
      <c r="A33" t="s">
        <v>198</v>
      </c>
      <c r="B33">
        <v>31</v>
      </c>
      <c r="C33" s="12">
        <v>0.95079999999999998</v>
      </c>
      <c r="D33" s="12">
        <v>14.837199999999999</v>
      </c>
      <c r="E33" s="12">
        <v>13.8864</v>
      </c>
      <c r="F33" s="12">
        <v>12.8446</v>
      </c>
      <c r="G33" s="12">
        <v>11.893800000000001</v>
      </c>
      <c r="H33" s="12">
        <f t="shared" si="0"/>
        <v>0.16753266407708212</v>
      </c>
      <c r="I33" s="12"/>
    </row>
    <row r="34" spans="1:9" x14ac:dyDescent="0.2">
      <c r="A34" t="s">
        <v>199</v>
      </c>
      <c r="B34">
        <v>32</v>
      </c>
      <c r="C34" s="12">
        <v>0.98719999999999997</v>
      </c>
      <c r="D34" s="12">
        <v>16.238199999999999</v>
      </c>
      <c r="E34" s="12">
        <v>15.250999999999999</v>
      </c>
      <c r="F34" s="12">
        <v>13.7857</v>
      </c>
      <c r="G34" s="12">
        <v>12.798500000000001</v>
      </c>
      <c r="H34" s="12">
        <f t="shared" si="0"/>
        <v>0.19162401843966079</v>
      </c>
      <c r="I34" s="12"/>
    </row>
    <row r="35" spans="1:9" x14ac:dyDescent="0.2">
      <c r="A35" t="s">
        <v>200</v>
      </c>
      <c r="B35">
        <v>33</v>
      </c>
      <c r="C35" s="12">
        <v>1.0288999999999999</v>
      </c>
      <c r="D35" s="12">
        <v>15.6608</v>
      </c>
      <c r="E35" s="12">
        <v>14.6319</v>
      </c>
      <c r="F35" s="12">
        <v>13.6274</v>
      </c>
      <c r="G35" s="12">
        <v>12.5985</v>
      </c>
      <c r="H35" s="12">
        <f t="shared" si="0"/>
        <v>0.16140016668651033</v>
      </c>
      <c r="I35" s="12"/>
    </row>
    <row r="36" spans="1:9" x14ac:dyDescent="0.2">
      <c r="A36" t="s">
        <v>201</v>
      </c>
      <c r="B36">
        <v>34</v>
      </c>
      <c r="C36" s="12">
        <v>0.98680000000000001</v>
      </c>
      <c r="D36" s="12">
        <v>22.319500000000001</v>
      </c>
      <c r="E36" s="12">
        <v>21.332700000000003</v>
      </c>
      <c r="F36" s="12">
        <v>18.980799999999999</v>
      </c>
      <c r="G36" s="12">
        <v>17.994</v>
      </c>
      <c r="H36" s="12">
        <f t="shared" si="0"/>
        <v>0.18554518172724258</v>
      </c>
      <c r="I36" s="12"/>
    </row>
    <row r="37" spans="1:9" x14ac:dyDescent="0.2">
      <c r="A37" t="s">
        <v>202</v>
      </c>
      <c r="B37">
        <v>35</v>
      </c>
      <c r="C37" s="12">
        <v>0.99350000000000005</v>
      </c>
      <c r="D37" s="12">
        <v>14.4397</v>
      </c>
      <c r="E37" s="12">
        <v>13.446200000000001</v>
      </c>
      <c r="F37" s="12">
        <v>11.8118</v>
      </c>
      <c r="G37" s="12">
        <v>10.818300000000001</v>
      </c>
      <c r="H37" s="12">
        <f t="shared" si="0"/>
        <v>0.24291247238475547</v>
      </c>
      <c r="I37" s="12"/>
    </row>
    <row r="38" spans="1:9" x14ac:dyDescent="0.2">
      <c r="A38" t="s">
        <v>203</v>
      </c>
      <c r="B38">
        <v>36</v>
      </c>
      <c r="C38" s="12">
        <v>0.99119999999999997</v>
      </c>
      <c r="D38" s="12">
        <v>20.814399999999999</v>
      </c>
      <c r="E38" s="12">
        <v>19.8232</v>
      </c>
      <c r="F38" s="12">
        <v>17.8886</v>
      </c>
      <c r="G38" s="12">
        <v>16.897400000000001</v>
      </c>
      <c r="H38" s="12">
        <f t="shared" si="0"/>
        <v>0.17315089895486871</v>
      </c>
      <c r="I38" s="12"/>
    </row>
    <row r="39" spans="1:9" x14ac:dyDescent="0.2">
      <c r="A39" t="s">
        <v>204</v>
      </c>
      <c r="B39">
        <v>37</v>
      </c>
      <c r="C39" s="12">
        <v>0.96789999999999998</v>
      </c>
      <c r="D39" s="12">
        <v>17.409700000000001</v>
      </c>
      <c r="E39" s="12">
        <v>16.441800000000001</v>
      </c>
      <c r="F39" s="12">
        <v>15.736599999999999</v>
      </c>
      <c r="G39" s="12">
        <v>14.768699999999999</v>
      </c>
      <c r="H39" s="12">
        <f t="shared" si="0"/>
        <v>0.11328688374738478</v>
      </c>
      <c r="I39" s="12"/>
    </row>
    <row r="40" spans="1:9" x14ac:dyDescent="0.2">
      <c r="A40" t="s">
        <v>205</v>
      </c>
      <c r="B40">
        <v>38</v>
      </c>
      <c r="C40" s="12">
        <v>1.0310999999999999</v>
      </c>
      <c r="D40" s="12">
        <v>17.378299999999999</v>
      </c>
      <c r="E40" s="12">
        <v>16.347200000000001</v>
      </c>
      <c r="F40" s="12">
        <v>14.3531</v>
      </c>
      <c r="G40" s="12">
        <v>13.321999999999999</v>
      </c>
      <c r="H40" s="12">
        <f t="shared" si="0"/>
        <v>0.2270830205674825</v>
      </c>
      <c r="I40" s="12"/>
    </row>
    <row r="41" spans="1:9" x14ac:dyDescent="0.2">
      <c r="A41" t="s">
        <v>206</v>
      </c>
      <c r="B41">
        <v>39</v>
      </c>
      <c r="C41" s="12">
        <v>0.99350000000000005</v>
      </c>
      <c r="D41" s="12">
        <v>24.508099999999999</v>
      </c>
      <c r="E41" s="12">
        <v>23.514599999999998</v>
      </c>
      <c r="F41" s="12">
        <v>21.259399999999999</v>
      </c>
      <c r="G41" s="12">
        <v>20.265899999999998</v>
      </c>
      <c r="H41" s="12">
        <f t="shared" si="0"/>
        <v>0.16030376149097744</v>
      </c>
      <c r="I41" s="12"/>
    </row>
    <row r="42" spans="1:9" x14ac:dyDescent="0.2">
      <c r="A42" t="s">
        <v>207</v>
      </c>
      <c r="B42">
        <v>40</v>
      </c>
      <c r="C42" s="12">
        <v>1.0246</v>
      </c>
      <c r="D42" s="12">
        <v>16.810400000000001</v>
      </c>
      <c r="E42" s="12">
        <v>15.785800000000002</v>
      </c>
      <c r="F42" s="12">
        <v>14.815300000000001</v>
      </c>
      <c r="G42" s="12">
        <v>13.790700000000001</v>
      </c>
      <c r="H42" s="12">
        <f t="shared" si="0"/>
        <v>0.14466995874031055</v>
      </c>
      <c r="I42" s="12"/>
    </row>
    <row r="43" spans="1:9" x14ac:dyDescent="0.2">
      <c r="A43" t="s">
        <v>208</v>
      </c>
      <c r="B43">
        <v>41</v>
      </c>
      <c r="C43" s="12">
        <v>0.95369999999999999</v>
      </c>
      <c r="D43" s="12">
        <v>18</v>
      </c>
      <c r="E43" s="12">
        <v>17.046299999999999</v>
      </c>
      <c r="F43" s="12">
        <v>16.075099999999999</v>
      </c>
      <c r="G43" s="12">
        <v>15.1214</v>
      </c>
      <c r="H43" s="12">
        <f t="shared" si="0"/>
        <v>0.1272964143531683</v>
      </c>
      <c r="I43" s="12"/>
    </row>
    <row r="44" spans="1:9" x14ac:dyDescent="0.2">
      <c r="A44" t="s">
        <v>209</v>
      </c>
      <c r="B44">
        <v>42</v>
      </c>
      <c r="C44" s="12">
        <v>0.99809999999999999</v>
      </c>
      <c r="D44" s="12">
        <v>21.7728</v>
      </c>
      <c r="E44" s="12">
        <v>20.774699999999999</v>
      </c>
      <c r="F44" s="12">
        <v>18.430900000000001</v>
      </c>
      <c r="G44" s="12">
        <v>17.4328</v>
      </c>
      <c r="H44" s="12">
        <f t="shared" si="0"/>
        <v>0.19170184938736171</v>
      </c>
      <c r="I44" s="12"/>
    </row>
    <row r="45" spans="1:9" x14ac:dyDescent="0.2">
      <c r="A45" t="s">
        <v>210</v>
      </c>
      <c r="B45">
        <v>43</v>
      </c>
      <c r="C45" s="12">
        <v>1.0358000000000001</v>
      </c>
      <c r="D45" s="12">
        <v>18.356300000000001</v>
      </c>
      <c r="E45" s="12">
        <v>17.320500000000003</v>
      </c>
      <c r="F45" s="12">
        <v>16.5139</v>
      </c>
      <c r="G45" s="12">
        <v>15.4781</v>
      </c>
      <c r="H45" s="12">
        <f t="shared" si="0"/>
        <v>0.11903269781174712</v>
      </c>
      <c r="I45" s="12"/>
    </row>
    <row r="46" spans="1:9" x14ac:dyDescent="0.2">
      <c r="A46" t="s">
        <v>211</v>
      </c>
      <c r="B46">
        <v>44</v>
      </c>
      <c r="C46" s="12">
        <v>1.0374000000000001</v>
      </c>
      <c r="D46" s="12">
        <v>20.885899999999999</v>
      </c>
      <c r="E46" s="12">
        <v>19.848499999999998</v>
      </c>
      <c r="F46" s="12">
        <v>18.447900000000001</v>
      </c>
      <c r="G46" s="12">
        <v>17.410499999999999</v>
      </c>
      <c r="H46" s="12">
        <f t="shared" si="0"/>
        <v>0.14003044140030435</v>
      </c>
      <c r="I46" s="12"/>
    </row>
    <row r="47" spans="1:9" x14ac:dyDescent="0.2">
      <c r="A47" t="s">
        <v>212</v>
      </c>
      <c r="B47">
        <v>45</v>
      </c>
      <c r="C47" s="12">
        <v>0.97230000000000005</v>
      </c>
      <c r="D47" s="12">
        <v>20.246400000000001</v>
      </c>
      <c r="E47" s="12">
        <v>19.274100000000001</v>
      </c>
      <c r="F47" s="12">
        <v>18.7882</v>
      </c>
      <c r="G47" s="12">
        <v>17.815899999999999</v>
      </c>
      <c r="H47" s="12">
        <f t="shared" si="0"/>
        <v>8.1848236687453432E-2</v>
      </c>
      <c r="I47" s="12"/>
    </row>
    <row r="48" spans="1:9" x14ac:dyDescent="0.2">
      <c r="A48" t="s">
        <v>214</v>
      </c>
      <c r="B48">
        <v>46</v>
      </c>
      <c r="C48" s="12">
        <v>0.99239999999999995</v>
      </c>
      <c r="D48" s="12">
        <v>20.109400000000001</v>
      </c>
      <c r="E48" s="12">
        <v>19.117000000000001</v>
      </c>
      <c r="F48" s="12">
        <v>18.099599999999999</v>
      </c>
      <c r="G48" s="12">
        <v>17.107199999999999</v>
      </c>
      <c r="H48" s="12">
        <f t="shared" si="0"/>
        <v>0.11748269734380858</v>
      </c>
      <c r="I48" s="12"/>
    </row>
    <row r="49" spans="1:8" x14ac:dyDescent="0.2">
      <c r="A49" t="s">
        <v>226</v>
      </c>
      <c r="C49">
        <v>4.9743000000000004</v>
      </c>
      <c r="E49" s="12"/>
      <c r="F49">
        <v>4.9696999999999996</v>
      </c>
      <c r="G49" s="12"/>
      <c r="H4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3C84-07EF-CE4F-B303-226D99DFC800}">
  <dimension ref="A1:R143"/>
  <sheetViews>
    <sheetView topLeftCell="J1" workbookViewId="0">
      <selection activeCell="P1" sqref="P1:P1048576"/>
    </sheetView>
  </sheetViews>
  <sheetFormatPr baseColWidth="10" defaultRowHeight="16" x14ac:dyDescent="0.2"/>
  <cols>
    <col min="4" max="4" width="20.83203125" customWidth="1"/>
    <col min="5" max="5" width="19.5" customWidth="1"/>
    <col min="7" max="7" width="19.1640625" customWidth="1"/>
    <col min="8" max="8" width="12.83203125" customWidth="1"/>
    <col min="9" max="9" width="15.83203125" customWidth="1"/>
    <col min="10" max="10" width="15.5" customWidth="1"/>
    <col min="11" max="11" width="14.1640625" customWidth="1"/>
    <col min="12" max="12" width="15.1640625" customWidth="1"/>
    <col min="13" max="13" width="15.33203125" customWidth="1"/>
    <col min="15" max="15" width="23.5" customWidth="1"/>
    <col min="16" max="16" width="26.1640625" customWidth="1"/>
  </cols>
  <sheetData>
    <row r="1" spans="1:18" x14ac:dyDescent="0.2">
      <c r="A1" t="s">
        <v>0</v>
      </c>
      <c r="B1" s="1" t="s">
        <v>1</v>
      </c>
      <c r="C1" s="1"/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159</v>
      </c>
      <c r="P1" t="s">
        <v>160</v>
      </c>
      <c r="Q1" t="s">
        <v>13</v>
      </c>
      <c r="R1" t="s">
        <v>14</v>
      </c>
    </row>
    <row r="2" spans="1:18" x14ac:dyDescent="0.2">
      <c r="A2">
        <v>1</v>
      </c>
      <c r="B2">
        <v>2021</v>
      </c>
      <c r="C2" t="s">
        <v>15</v>
      </c>
      <c r="D2" s="2">
        <v>3.1501999999999999</v>
      </c>
      <c r="E2" s="2">
        <v>1.5652999999999999</v>
      </c>
      <c r="F2" t="s">
        <v>16</v>
      </c>
      <c r="G2" s="3">
        <v>44655</v>
      </c>
      <c r="H2" s="3">
        <v>44659</v>
      </c>
      <c r="I2" s="2">
        <f>D2-$D$142</f>
        <v>2.3299666666666665</v>
      </c>
      <c r="J2" s="2">
        <f>E2-$E$142</f>
        <v>0.7451333333333332</v>
      </c>
      <c r="K2" s="2">
        <f>I2-J2</f>
        <v>1.5848333333333333</v>
      </c>
      <c r="L2" s="4">
        <f>K2/I2</f>
        <v>0.68019571095437703</v>
      </c>
      <c r="M2" s="4">
        <f>AVERAGE(L2:L4)</f>
        <v>0.68315108822311377</v>
      </c>
      <c r="N2">
        <v>1</v>
      </c>
      <c r="O2">
        <f>(I2-J2)/J2</f>
        <v>2.1269124094121863</v>
      </c>
      <c r="P2" s="4">
        <f>AVERAGE(O2:O4)</f>
        <v>2.1562062202360406</v>
      </c>
      <c r="Q2">
        <f>O2*100</f>
        <v>212.69124094121864</v>
      </c>
      <c r="R2" s="4">
        <f>AVERAGE(Q2:Q4)</f>
        <v>215.62062202360411</v>
      </c>
    </row>
    <row r="3" spans="1:18" x14ac:dyDescent="0.2">
      <c r="A3">
        <v>2</v>
      </c>
      <c r="B3">
        <v>2021</v>
      </c>
      <c r="C3" t="s">
        <v>17</v>
      </c>
      <c r="D3" s="2">
        <v>4.6265000000000001</v>
      </c>
      <c r="E3" s="2">
        <v>2.0121000000000002</v>
      </c>
      <c r="I3" s="2">
        <f t="shared" ref="I3:I66" si="0">D3-$D$142</f>
        <v>3.8062666666666667</v>
      </c>
      <c r="J3" s="2">
        <f t="shared" ref="J3:J66" si="1">E3-$E$142</f>
        <v>1.1919333333333335</v>
      </c>
      <c r="K3" s="2">
        <f t="shared" ref="K3:K66" si="2">D3-E3</f>
        <v>2.6143999999999998</v>
      </c>
      <c r="L3" s="4">
        <f t="shared" ref="L3:L66" si="3">K3/I3</f>
        <v>0.6868672715171471</v>
      </c>
      <c r="O3">
        <f t="shared" ref="O3:O66" si="4">(I3-J3)/J3</f>
        <v>2.193355333072319</v>
      </c>
      <c r="Q3">
        <f t="shared" ref="Q3:Q66" si="5">O3*100</f>
        <v>219.33553330723191</v>
      </c>
    </row>
    <row r="4" spans="1:18" x14ac:dyDescent="0.2">
      <c r="A4">
        <v>3</v>
      </c>
      <c r="B4">
        <v>2021</v>
      </c>
      <c r="C4" t="s">
        <v>18</v>
      </c>
      <c r="D4" s="2">
        <v>4.7690000000000001</v>
      </c>
      <c r="E4" s="2">
        <v>2.0743999999999998</v>
      </c>
      <c r="I4" s="2">
        <f>D4-$D$142</f>
        <v>3.9487666666666668</v>
      </c>
      <c r="J4" s="2">
        <f t="shared" si="1"/>
        <v>1.2542333333333331</v>
      </c>
      <c r="K4" s="2">
        <f t="shared" si="2"/>
        <v>2.6946000000000003</v>
      </c>
      <c r="L4" s="4">
        <f t="shared" si="3"/>
        <v>0.68239028219781706</v>
      </c>
      <c r="O4">
        <f t="shared" si="4"/>
        <v>2.1483509182236169</v>
      </c>
      <c r="Q4">
        <f t="shared" si="5"/>
        <v>214.83509182236168</v>
      </c>
    </row>
    <row r="5" spans="1:18" x14ac:dyDescent="0.2">
      <c r="A5">
        <v>4</v>
      </c>
      <c r="B5">
        <v>2021</v>
      </c>
      <c r="C5" t="s">
        <v>19</v>
      </c>
      <c r="D5" s="2">
        <v>3.5480999999999998</v>
      </c>
      <c r="E5" s="2">
        <v>1.7267999999999999</v>
      </c>
      <c r="I5" s="2">
        <f t="shared" si="0"/>
        <v>2.7278666666666664</v>
      </c>
      <c r="J5" s="2">
        <f t="shared" si="1"/>
        <v>0.90663333333333318</v>
      </c>
      <c r="K5" s="2">
        <f>D5-E5</f>
        <v>1.8212999999999999</v>
      </c>
      <c r="L5" s="4">
        <f>K5/I5</f>
        <v>0.66766459748765827</v>
      </c>
      <c r="M5" s="4">
        <f>AVERAGE(L5:L7)</f>
        <v>0.65412391728254116</v>
      </c>
      <c r="N5">
        <v>2</v>
      </c>
      <c r="O5">
        <f t="shared" si="4"/>
        <v>2.0087870877605796</v>
      </c>
      <c r="P5" s="4">
        <f>AVERAGE(O5:O7)</f>
        <v>1.8942833946680515</v>
      </c>
      <c r="Q5">
        <f t="shared" si="5"/>
        <v>200.87870877605795</v>
      </c>
      <c r="R5" s="4">
        <f>AVERAGE(Q5:Q7)</f>
        <v>189.42833946680511</v>
      </c>
    </row>
    <row r="6" spans="1:18" x14ac:dyDescent="0.2">
      <c r="A6">
        <v>5</v>
      </c>
      <c r="B6">
        <v>2021</v>
      </c>
      <c r="C6" t="s">
        <v>20</v>
      </c>
      <c r="D6" s="2">
        <v>3.4083999999999999</v>
      </c>
      <c r="E6" s="2">
        <v>1.712</v>
      </c>
      <c r="I6" s="2">
        <f t="shared" si="0"/>
        <v>2.5881666666666665</v>
      </c>
      <c r="J6" s="2">
        <f t="shared" si="1"/>
        <v>0.89183333333333326</v>
      </c>
      <c r="K6" s="2">
        <f t="shared" si="2"/>
        <v>1.6963999999999999</v>
      </c>
      <c r="L6" s="4">
        <f t="shared" si="3"/>
        <v>0.65544465194152879</v>
      </c>
      <c r="O6">
        <f t="shared" si="4"/>
        <v>1.9020743786208185</v>
      </c>
      <c r="Q6">
        <f t="shared" si="5"/>
        <v>190.20743786208186</v>
      </c>
    </row>
    <row r="7" spans="1:18" x14ac:dyDescent="0.2">
      <c r="A7">
        <v>6</v>
      </c>
      <c r="B7">
        <v>2021</v>
      </c>
      <c r="C7" t="s">
        <v>21</v>
      </c>
      <c r="D7" s="2">
        <v>5.4720000000000004</v>
      </c>
      <c r="E7" s="2">
        <v>2.4983</v>
      </c>
      <c r="I7" s="2">
        <f t="shared" si="0"/>
        <v>4.651766666666667</v>
      </c>
      <c r="J7" s="2">
        <f t="shared" si="1"/>
        <v>1.6781333333333333</v>
      </c>
      <c r="K7" s="2">
        <f t="shared" si="2"/>
        <v>2.9737000000000005</v>
      </c>
      <c r="L7" s="4">
        <f t="shared" si="3"/>
        <v>0.63926250241843607</v>
      </c>
      <c r="O7">
        <f t="shared" si="4"/>
        <v>1.7719887176227558</v>
      </c>
      <c r="Q7">
        <f t="shared" si="5"/>
        <v>177.19887176227559</v>
      </c>
    </row>
    <row r="8" spans="1:18" x14ac:dyDescent="0.2">
      <c r="A8">
        <v>7</v>
      </c>
      <c r="B8">
        <v>2021</v>
      </c>
      <c r="C8" t="s">
        <v>22</v>
      </c>
      <c r="D8" s="2">
        <v>4.4581999999999997</v>
      </c>
      <c r="E8" s="2">
        <v>2.0785</v>
      </c>
      <c r="I8" s="2">
        <f t="shared" si="0"/>
        <v>3.6379666666666663</v>
      </c>
      <c r="J8" s="2">
        <f t="shared" si="1"/>
        <v>1.2583333333333333</v>
      </c>
      <c r="K8" s="2">
        <f t="shared" si="2"/>
        <v>2.3796999999999997</v>
      </c>
      <c r="L8" s="4">
        <f t="shared" si="3"/>
        <v>0.65412913807163342</v>
      </c>
      <c r="M8" s="4">
        <f>AVERAGE(L8:L10)</f>
        <v>0.62658002325659812</v>
      </c>
      <c r="N8">
        <v>3</v>
      </c>
      <c r="O8">
        <f t="shared" si="4"/>
        <v>1.8910993377483443</v>
      </c>
      <c r="P8" s="4">
        <f>AVERAGE(O8:O10)</f>
        <v>1.685705104193542</v>
      </c>
      <c r="Q8">
        <f t="shared" si="5"/>
        <v>189.10993377483442</v>
      </c>
      <c r="R8" s="4">
        <f>AVERAGE(Q8:Q10)</f>
        <v>168.57051041935418</v>
      </c>
    </row>
    <row r="9" spans="1:18" x14ac:dyDescent="0.2">
      <c r="A9">
        <v>8</v>
      </c>
      <c r="B9">
        <v>2021</v>
      </c>
      <c r="C9" t="s">
        <v>23</v>
      </c>
      <c r="D9" s="2">
        <v>7.0178000000000003</v>
      </c>
      <c r="E9" s="2">
        <v>3.2501000000000002</v>
      </c>
      <c r="I9" s="2">
        <f t="shared" si="0"/>
        <v>6.1975666666666669</v>
      </c>
      <c r="J9" s="2">
        <f t="shared" si="1"/>
        <v>2.4299333333333335</v>
      </c>
      <c r="K9" s="2">
        <f t="shared" si="2"/>
        <v>3.7677</v>
      </c>
      <c r="L9" s="4">
        <f t="shared" si="3"/>
        <v>0.60793214541190899</v>
      </c>
      <c r="O9">
        <f t="shared" si="4"/>
        <v>1.5505089302861532</v>
      </c>
      <c r="Q9">
        <f t="shared" si="5"/>
        <v>155.05089302861532</v>
      </c>
    </row>
    <row r="10" spans="1:18" x14ac:dyDescent="0.2">
      <c r="A10">
        <v>9</v>
      </c>
      <c r="B10">
        <v>2021</v>
      </c>
      <c r="C10" t="s">
        <v>24</v>
      </c>
      <c r="D10" s="2">
        <v>5.6406999999999998</v>
      </c>
      <c r="E10" s="2">
        <v>2.6631999999999998</v>
      </c>
      <c r="I10" s="2">
        <f t="shared" si="0"/>
        <v>4.8204666666666665</v>
      </c>
      <c r="J10" s="2">
        <f t="shared" si="1"/>
        <v>1.8430333333333331</v>
      </c>
      <c r="K10" s="2">
        <f t="shared" si="2"/>
        <v>2.9775</v>
      </c>
      <c r="L10" s="4">
        <f t="shared" si="3"/>
        <v>0.61767878628625172</v>
      </c>
      <c r="O10">
        <f t="shared" si="4"/>
        <v>1.6155070445461288</v>
      </c>
      <c r="Q10">
        <f t="shared" si="5"/>
        <v>161.55070445461288</v>
      </c>
    </row>
    <row r="11" spans="1:18" x14ac:dyDescent="0.2">
      <c r="A11">
        <v>10</v>
      </c>
      <c r="B11">
        <v>2021</v>
      </c>
      <c r="C11" t="s">
        <v>25</v>
      </c>
      <c r="D11" s="2">
        <v>5.0980999999999996</v>
      </c>
      <c r="E11" s="2">
        <v>2.5215000000000001</v>
      </c>
      <c r="I11" s="2">
        <f t="shared" si="0"/>
        <v>4.2778666666666663</v>
      </c>
      <c r="J11" s="2">
        <f t="shared" si="1"/>
        <v>1.7013333333333334</v>
      </c>
      <c r="K11" s="2">
        <f t="shared" si="2"/>
        <v>2.5765999999999996</v>
      </c>
      <c r="L11" s="4">
        <f t="shared" si="3"/>
        <v>0.60230956239870337</v>
      </c>
      <c r="M11" s="4">
        <f>AVERAGE(L11:L13)</f>
        <v>0.58623858057354283</v>
      </c>
      <c r="N11">
        <v>4</v>
      </c>
      <c r="O11">
        <f t="shared" si="4"/>
        <v>1.5144200626959246</v>
      </c>
      <c r="P11" s="4">
        <f>AVERAGE(O11:O13)</f>
        <v>1.4200084475865771</v>
      </c>
      <c r="Q11">
        <f t="shared" si="5"/>
        <v>151.44200626959247</v>
      </c>
      <c r="R11" s="4">
        <f>AVERAGE(Q11:Q13)</f>
        <v>142.00084475865771</v>
      </c>
    </row>
    <row r="12" spans="1:18" x14ac:dyDescent="0.2">
      <c r="A12">
        <v>11</v>
      </c>
      <c r="B12">
        <v>2021</v>
      </c>
      <c r="C12" t="s">
        <v>26</v>
      </c>
      <c r="D12" s="2">
        <v>5.0285000000000002</v>
      </c>
      <c r="E12" s="2">
        <v>2.5427</v>
      </c>
      <c r="I12" s="2">
        <f t="shared" si="0"/>
        <v>4.2082666666666668</v>
      </c>
      <c r="J12" s="2">
        <f t="shared" si="1"/>
        <v>1.7225333333333332</v>
      </c>
      <c r="K12" s="2">
        <f t="shared" si="2"/>
        <v>2.4858000000000002</v>
      </c>
      <c r="L12" s="4">
        <f t="shared" si="3"/>
        <v>0.59069450605158103</v>
      </c>
      <c r="O12">
        <f t="shared" si="4"/>
        <v>1.4430683489434168</v>
      </c>
      <c r="Q12">
        <f t="shared" si="5"/>
        <v>144.30683489434168</v>
      </c>
    </row>
    <row r="13" spans="1:18" x14ac:dyDescent="0.2">
      <c r="A13">
        <v>12</v>
      </c>
      <c r="B13">
        <v>2021</v>
      </c>
      <c r="C13" t="s">
        <v>27</v>
      </c>
      <c r="D13" s="2">
        <v>5.1948999999999996</v>
      </c>
      <c r="E13" s="2">
        <v>2.7201</v>
      </c>
      <c r="I13" s="2">
        <f t="shared" si="0"/>
        <v>4.3746666666666663</v>
      </c>
      <c r="J13" s="2">
        <f t="shared" si="1"/>
        <v>1.8999333333333333</v>
      </c>
      <c r="K13" s="2">
        <f t="shared" si="2"/>
        <v>2.4747999999999997</v>
      </c>
      <c r="L13" s="4">
        <f t="shared" si="3"/>
        <v>0.56571167327034433</v>
      </c>
      <c r="O13">
        <f t="shared" si="4"/>
        <v>1.30253693112039</v>
      </c>
      <c r="Q13">
        <f t="shared" si="5"/>
        <v>130.253693112039</v>
      </c>
    </row>
    <row r="14" spans="1:18" x14ac:dyDescent="0.2">
      <c r="A14">
        <v>13</v>
      </c>
      <c r="B14">
        <v>2021</v>
      </c>
      <c r="C14" t="s">
        <v>28</v>
      </c>
      <c r="D14" s="2">
        <v>5.7935999999999996</v>
      </c>
      <c r="E14" s="2">
        <v>3.3999000000000001</v>
      </c>
      <c r="I14" s="2">
        <f t="shared" si="0"/>
        <v>4.9733666666666663</v>
      </c>
      <c r="J14" s="2">
        <f t="shared" si="1"/>
        <v>2.5797333333333334</v>
      </c>
      <c r="K14" s="2">
        <f t="shared" si="2"/>
        <v>2.3936999999999995</v>
      </c>
      <c r="L14" s="4">
        <f t="shared" si="3"/>
        <v>0.48130374461297171</v>
      </c>
      <c r="M14" s="4">
        <f>AVERAGE(L14:L16)</f>
        <v>0.47616892777580816</v>
      </c>
      <c r="N14">
        <v>5</v>
      </c>
      <c r="O14">
        <f t="shared" si="4"/>
        <v>0.92786076080214985</v>
      </c>
      <c r="P14" s="4">
        <f>AVERAGE(O14:O16)</f>
        <v>0.90916963005521145</v>
      </c>
      <c r="Q14">
        <f t="shared" si="5"/>
        <v>92.786076080214983</v>
      </c>
      <c r="R14" s="4">
        <f>AVERAGE(Q14:Q16)</f>
        <v>90.91696300552114</v>
      </c>
    </row>
    <row r="15" spans="1:18" x14ac:dyDescent="0.2">
      <c r="A15">
        <v>14</v>
      </c>
      <c r="B15">
        <v>2021</v>
      </c>
      <c r="C15" t="s">
        <v>29</v>
      </c>
      <c r="D15" s="2">
        <v>5.7195</v>
      </c>
      <c r="E15" s="2">
        <v>3.4237000000000002</v>
      </c>
      <c r="I15" s="2">
        <f t="shared" si="0"/>
        <v>4.8992666666666667</v>
      </c>
      <c r="J15" s="2">
        <f t="shared" si="1"/>
        <v>2.6035333333333335</v>
      </c>
      <c r="K15" s="2">
        <f t="shared" si="2"/>
        <v>2.2957999999999998</v>
      </c>
      <c r="L15" s="4">
        <f t="shared" si="3"/>
        <v>0.46860074296833537</v>
      </c>
      <c r="O15">
        <f t="shared" si="4"/>
        <v>0.88177604793485764</v>
      </c>
      <c r="Q15">
        <f t="shared" si="5"/>
        <v>88.17760479348577</v>
      </c>
    </row>
    <row r="16" spans="1:18" x14ac:dyDescent="0.2">
      <c r="A16">
        <v>15</v>
      </c>
      <c r="B16">
        <v>2021</v>
      </c>
      <c r="C16" t="s">
        <v>30</v>
      </c>
      <c r="D16" s="2">
        <v>5.7568999999999999</v>
      </c>
      <c r="E16" s="2">
        <v>3.3942000000000001</v>
      </c>
      <c r="I16" s="2">
        <f t="shared" si="0"/>
        <v>4.9366666666666665</v>
      </c>
      <c r="J16" s="2">
        <f t="shared" si="1"/>
        <v>2.5740333333333334</v>
      </c>
      <c r="K16" s="2">
        <f t="shared" si="2"/>
        <v>2.3626999999999998</v>
      </c>
      <c r="L16" s="4">
        <f t="shared" si="3"/>
        <v>0.47860229574611746</v>
      </c>
      <c r="O16">
        <f t="shared" si="4"/>
        <v>0.91787208142862686</v>
      </c>
      <c r="Q16">
        <f t="shared" si="5"/>
        <v>91.787208142862681</v>
      </c>
    </row>
    <row r="17" spans="1:18" x14ac:dyDescent="0.2">
      <c r="A17">
        <v>16</v>
      </c>
      <c r="B17">
        <v>2021</v>
      </c>
      <c r="C17" t="s">
        <v>31</v>
      </c>
      <c r="D17" s="2">
        <v>8.7715999999999994</v>
      </c>
      <c r="E17" s="2">
        <v>5.63</v>
      </c>
      <c r="I17" s="2">
        <f t="shared" si="0"/>
        <v>7.951366666666666</v>
      </c>
      <c r="J17" s="2">
        <f t="shared" si="1"/>
        <v>4.8098333333333336</v>
      </c>
      <c r="K17" s="2">
        <f t="shared" si="2"/>
        <v>3.1415999999999995</v>
      </c>
      <c r="L17" s="4">
        <f t="shared" si="3"/>
        <v>0.3951018902410906</v>
      </c>
      <c r="M17" s="4">
        <f>AVERAGE(L17:L19)</f>
        <v>0.39269825785339285</v>
      </c>
      <c r="N17">
        <v>6</v>
      </c>
      <c r="O17">
        <f t="shared" si="4"/>
        <v>0.65314806472850728</v>
      </c>
      <c r="P17" s="4">
        <f>AVERAGE(O17:O19)</f>
        <v>0.64666805107578618</v>
      </c>
      <c r="Q17">
        <f t="shared" si="5"/>
        <v>65.314806472850734</v>
      </c>
      <c r="R17" s="4">
        <f>AVERAGE(Q17:Q19)</f>
        <v>64.666805107578611</v>
      </c>
    </row>
    <row r="18" spans="1:18" x14ac:dyDescent="0.2">
      <c r="A18">
        <v>17</v>
      </c>
      <c r="B18">
        <v>2021</v>
      </c>
      <c r="C18" t="s">
        <v>32</v>
      </c>
      <c r="D18" s="2">
        <v>6.6721000000000004</v>
      </c>
      <c r="E18" s="2">
        <v>4.3559000000000001</v>
      </c>
      <c r="I18" s="2">
        <f t="shared" si="0"/>
        <v>5.851866666666667</v>
      </c>
      <c r="J18" s="2">
        <f t="shared" si="1"/>
        <v>3.5357333333333334</v>
      </c>
      <c r="K18" s="2">
        <f t="shared" si="2"/>
        <v>2.3162000000000003</v>
      </c>
      <c r="L18" s="4">
        <f t="shared" si="3"/>
        <v>0.39580532707512134</v>
      </c>
      <c r="O18">
        <f t="shared" si="4"/>
        <v>0.65506448450109367</v>
      </c>
      <c r="Q18">
        <f t="shared" si="5"/>
        <v>65.50644845010936</v>
      </c>
    </row>
    <row r="19" spans="1:18" x14ac:dyDescent="0.2">
      <c r="A19">
        <v>18</v>
      </c>
      <c r="B19">
        <v>2021</v>
      </c>
      <c r="C19" t="s">
        <v>33</v>
      </c>
      <c r="D19" s="2">
        <v>6.9320000000000004</v>
      </c>
      <c r="E19" s="2">
        <v>4.5655999999999999</v>
      </c>
      <c r="I19" s="2">
        <f t="shared" si="0"/>
        <v>6.111766666666667</v>
      </c>
      <c r="J19" s="2">
        <f t="shared" si="1"/>
        <v>3.7454333333333332</v>
      </c>
      <c r="K19" s="2">
        <f t="shared" si="2"/>
        <v>2.3664000000000005</v>
      </c>
      <c r="L19" s="4">
        <f t="shared" si="3"/>
        <v>0.38718755624396661</v>
      </c>
      <c r="O19">
        <f t="shared" si="4"/>
        <v>0.63179160399775747</v>
      </c>
      <c r="Q19">
        <f t="shared" si="5"/>
        <v>63.179160399775746</v>
      </c>
    </row>
    <row r="20" spans="1:18" x14ac:dyDescent="0.2">
      <c r="A20">
        <v>19</v>
      </c>
      <c r="B20">
        <v>2021</v>
      </c>
      <c r="C20" t="s">
        <v>34</v>
      </c>
      <c r="D20" s="2">
        <v>9.8668999999999993</v>
      </c>
      <c r="E20" s="2">
        <v>5.5678999999999998</v>
      </c>
      <c r="I20" s="2">
        <f t="shared" si="0"/>
        <v>9.0466666666666669</v>
      </c>
      <c r="J20" s="2">
        <f t="shared" si="1"/>
        <v>4.7477333333333327</v>
      </c>
      <c r="K20" s="2">
        <f t="shared" si="2"/>
        <v>4.2989999999999995</v>
      </c>
      <c r="L20" s="4">
        <f t="shared" si="3"/>
        <v>0.47520265291083263</v>
      </c>
      <c r="M20" s="4">
        <f>AVERAGE(L20:L22)</f>
        <v>0.46819767558410469</v>
      </c>
      <c r="N20">
        <v>7</v>
      </c>
      <c r="O20">
        <f t="shared" si="4"/>
        <v>0.90547068074590009</v>
      </c>
      <c r="P20" s="4">
        <f>AVERAGE(O20:O22)</f>
        <v>0.88067046586025832</v>
      </c>
      <c r="Q20">
        <f t="shared" si="5"/>
        <v>90.547068074590015</v>
      </c>
      <c r="R20" s="4">
        <f>AVERAGE(Q20:Q22)</f>
        <v>88.067046586025853</v>
      </c>
    </row>
    <row r="21" spans="1:18" x14ac:dyDescent="0.2">
      <c r="A21">
        <v>20</v>
      </c>
      <c r="B21">
        <v>2021</v>
      </c>
      <c r="C21" t="s">
        <v>35</v>
      </c>
      <c r="D21" s="2">
        <v>8.8508999999999993</v>
      </c>
      <c r="E21" s="2">
        <v>5.0735999999999999</v>
      </c>
      <c r="I21" s="2">
        <f t="shared" si="0"/>
        <v>8.0306666666666651</v>
      </c>
      <c r="J21" s="2">
        <f t="shared" si="1"/>
        <v>4.2534333333333336</v>
      </c>
      <c r="K21" s="2">
        <f t="shared" si="2"/>
        <v>3.7772999999999994</v>
      </c>
      <c r="L21" s="4">
        <f t="shared" si="3"/>
        <v>0.47035945542088664</v>
      </c>
      <c r="O21">
        <f t="shared" si="4"/>
        <v>0.8880433845599236</v>
      </c>
      <c r="Q21">
        <f t="shared" si="5"/>
        <v>88.804338455992365</v>
      </c>
    </row>
    <row r="22" spans="1:18" x14ac:dyDescent="0.2">
      <c r="A22">
        <v>21</v>
      </c>
      <c r="B22">
        <v>2021</v>
      </c>
      <c r="C22" t="s">
        <v>36</v>
      </c>
      <c r="D22" s="2">
        <v>6.9524999999999997</v>
      </c>
      <c r="E22" s="2">
        <v>4.1375999999999999</v>
      </c>
      <c r="I22" s="2">
        <f t="shared" si="0"/>
        <v>6.1322666666666663</v>
      </c>
      <c r="J22" s="2">
        <f t="shared" si="1"/>
        <v>3.3174333333333332</v>
      </c>
      <c r="K22" s="2">
        <f t="shared" si="2"/>
        <v>2.8148999999999997</v>
      </c>
      <c r="L22" s="4">
        <f t="shared" si="3"/>
        <v>0.45903091842059485</v>
      </c>
      <c r="O22">
        <f t="shared" si="4"/>
        <v>0.8484973322749515</v>
      </c>
      <c r="Q22">
        <f t="shared" si="5"/>
        <v>84.84973322749515</v>
      </c>
    </row>
    <row r="23" spans="1:18" x14ac:dyDescent="0.2">
      <c r="A23">
        <v>22</v>
      </c>
      <c r="B23">
        <v>2021</v>
      </c>
      <c r="C23" t="s">
        <v>37</v>
      </c>
      <c r="D23" s="2">
        <v>7.6292</v>
      </c>
      <c r="E23" s="2">
        <v>4.7712000000000003</v>
      </c>
      <c r="I23" s="2">
        <f t="shared" si="0"/>
        <v>6.8089666666666666</v>
      </c>
      <c r="J23" s="2">
        <f t="shared" si="1"/>
        <v>3.9510333333333336</v>
      </c>
      <c r="K23" s="2">
        <f t="shared" si="2"/>
        <v>2.8579999999999997</v>
      </c>
      <c r="L23" s="4">
        <f t="shared" si="3"/>
        <v>0.41974063612197637</v>
      </c>
      <c r="M23" s="4">
        <f>AVERAGE(L23:L25)</f>
        <v>0.41988106895604882</v>
      </c>
      <c r="N23">
        <v>8</v>
      </c>
      <c r="O23">
        <f t="shared" si="4"/>
        <v>0.72333819844597602</v>
      </c>
      <c r="P23" s="4">
        <f>AVERAGE(O23:O25)</f>
        <v>0.72375268326478037</v>
      </c>
      <c r="Q23">
        <f t="shared" si="5"/>
        <v>72.333819844597599</v>
      </c>
      <c r="R23" s="4">
        <f>AVERAGE(Q23:Q25)</f>
        <v>72.375268326478036</v>
      </c>
    </row>
    <row r="24" spans="1:18" x14ac:dyDescent="0.2">
      <c r="A24">
        <v>23</v>
      </c>
      <c r="B24">
        <v>2021</v>
      </c>
      <c r="C24" t="s">
        <v>38</v>
      </c>
      <c r="D24" s="2">
        <v>6.39</v>
      </c>
      <c r="E24" s="2">
        <v>4.0491999999999999</v>
      </c>
      <c r="I24" s="2">
        <f t="shared" si="0"/>
        <v>5.5697666666666663</v>
      </c>
      <c r="J24" s="2">
        <f t="shared" si="1"/>
        <v>3.2290333333333332</v>
      </c>
      <c r="K24" s="2">
        <f t="shared" si="2"/>
        <v>2.3407999999999998</v>
      </c>
      <c r="L24" s="4">
        <f t="shared" si="3"/>
        <v>0.42026895202073095</v>
      </c>
      <c r="O24">
        <f t="shared" si="4"/>
        <v>0.72490218950976038</v>
      </c>
      <c r="Q24">
        <f t="shared" si="5"/>
        <v>72.490218950976043</v>
      </c>
    </row>
    <row r="25" spans="1:18" x14ac:dyDescent="0.2">
      <c r="A25">
        <v>24</v>
      </c>
      <c r="B25">
        <v>2021</v>
      </c>
      <c r="C25" t="s">
        <v>39</v>
      </c>
      <c r="D25" s="2">
        <v>7.0377999999999998</v>
      </c>
      <c r="E25" s="2">
        <v>4.4287000000000001</v>
      </c>
      <c r="I25" s="2">
        <f t="shared" si="0"/>
        <v>6.2175666666666665</v>
      </c>
      <c r="J25" s="2">
        <f t="shared" si="1"/>
        <v>3.6085333333333334</v>
      </c>
      <c r="K25" s="2">
        <f t="shared" si="2"/>
        <v>2.6090999999999998</v>
      </c>
      <c r="L25" s="4">
        <f t="shared" si="3"/>
        <v>0.41963361872543919</v>
      </c>
      <c r="O25">
        <f t="shared" si="4"/>
        <v>0.72301766183860472</v>
      </c>
      <c r="Q25">
        <f t="shared" si="5"/>
        <v>72.301766183860465</v>
      </c>
    </row>
    <row r="26" spans="1:18" x14ac:dyDescent="0.2">
      <c r="A26">
        <v>25</v>
      </c>
      <c r="B26">
        <v>2021</v>
      </c>
      <c r="C26" t="s">
        <v>40</v>
      </c>
      <c r="D26" s="2">
        <v>6.7922000000000002</v>
      </c>
      <c r="E26" s="2">
        <v>4.1852</v>
      </c>
      <c r="I26" s="2">
        <f t="shared" si="0"/>
        <v>5.9719666666666669</v>
      </c>
      <c r="J26" s="2">
        <f t="shared" si="1"/>
        <v>3.3650333333333333</v>
      </c>
      <c r="K26" s="2">
        <f t="shared" si="2"/>
        <v>2.6070000000000002</v>
      </c>
      <c r="L26" s="4">
        <f t="shared" si="3"/>
        <v>0.43653961006703546</v>
      </c>
      <c r="M26" s="4">
        <f>AVERAGE(L26:L28)</f>
        <v>0.43795065931673971</v>
      </c>
      <c r="N26">
        <v>9</v>
      </c>
      <c r="O26">
        <f t="shared" si="4"/>
        <v>0.77471248427454908</v>
      </c>
      <c r="P26" s="4">
        <f>AVERAGE(O26:O28)</f>
        <v>0.7791904707061893</v>
      </c>
      <c r="Q26">
        <f t="shared" si="5"/>
        <v>77.47124842745491</v>
      </c>
      <c r="R26" s="4">
        <f>AVERAGE(Q26:Q28)</f>
        <v>77.91904707061893</v>
      </c>
    </row>
    <row r="27" spans="1:18" x14ac:dyDescent="0.2">
      <c r="A27">
        <v>26</v>
      </c>
      <c r="B27">
        <v>2021</v>
      </c>
      <c r="C27" t="s">
        <v>41</v>
      </c>
      <c r="D27" s="2">
        <v>7.0339</v>
      </c>
      <c r="E27" s="2">
        <v>4.2949000000000002</v>
      </c>
      <c r="I27" s="2">
        <f t="shared" si="0"/>
        <v>6.2136666666666667</v>
      </c>
      <c r="J27" s="2">
        <f t="shared" si="1"/>
        <v>3.4747333333333335</v>
      </c>
      <c r="K27" s="2">
        <f t="shared" si="2"/>
        <v>2.7389999999999999</v>
      </c>
      <c r="L27" s="4">
        <f t="shared" si="3"/>
        <v>0.44080253205300141</v>
      </c>
      <c r="O27">
        <f t="shared" si="4"/>
        <v>0.78824274284837204</v>
      </c>
      <c r="Q27">
        <f t="shared" si="5"/>
        <v>78.824274284837202</v>
      </c>
    </row>
    <row r="28" spans="1:18" x14ac:dyDescent="0.2">
      <c r="A28">
        <v>27</v>
      </c>
      <c r="B28">
        <v>2021</v>
      </c>
      <c r="C28" t="s">
        <v>42</v>
      </c>
      <c r="D28" s="2">
        <v>6.3917000000000002</v>
      </c>
      <c r="E28" s="2">
        <v>3.9597000000000002</v>
      </c>
      <c r="I28" s="2">
        <f t="shared" si="0"/>
        <v>5.5714666666666668</v>
      </c>
      <c r="J28" s="2">
        <f t="shared" si="1"/>
        <v>3.1395333333333335</v>
      </c>
      <c r="K28" s="2">
        <f t="shared" si="2"/>
        <v>2.4319999999999999</v>
      </c>
      <c r="L28" s="4">
        <f t="shared" si="3"/>
        <v>0.43650983583018232</v>
      </c>
      <c r="O28">
        <f t="shared" si="4"/>
        <v>0.77461618499564688</v>
      </c>
      <c r="Q28">
        <f t="shared" si="5"/>
        <v>77.461618499564693</v>
      </c>
    </row>
    <row r="29" spans="1:18" x14ac:dyDescent="0.2">
      <c r="A29">
        <v>28</v>
      </c>
      <c r="B29">
        <v>2021</v>
      </c>
      <c r="C29" t="s">
        <v>43</v>
      </c>
      <c r="D29" s="2">
        <v>7.8986999999999998</v>
      </c>
      <c r="E29" s="2">
        <v>5.218</v>
      </c>
      <c r="I29" s="2">
        <f t="shared" si="0"/>
        <v>7.0784666666666665</v>
      </c>
      <c r="J29" s="2">
        <f t="shared" si="1"/>
        <v>4.3978333333333328</v>
      </c>
      <c r="K29" s="2">
        <f t="shared" si="2"/>
        <v>2.6806999999999999</v>
      </c>
      <c r="L29" s="4">
        <f t="shared" si="3"/>
        <v>0.37871196210101998</v>
      </c>
      <c r="M29" s="4">
        <f>AVERAGE(L29:L31)</f>
        <v>0.37892836442788019</v>
      </c>
      <c r="N29">
        <v>10</v>
      </c>
      <c r="O29">
        <f t="shared" si="4"/>
        <v>0.60953499829461488</v>
      </c>
      <c r="P29" s="4">
        <f>AVERAGE(O29:O31)</f>
        <v>0.61010216934094563</v>
      </c>
      <c r="Q29">
        <f t="shared" si="5"/>
        <v>60.953499829461485</v>
      </c>
      <c r="R29" s="4">
        <f>AVERAGE(Q29:Q31)</f>
        <v>61.010216934094558</v>
      </c>
    </row>
    <row r="30" spans="1:18" x14ac:dyDescent="0.2">
      <c r="A30">
        <v>29</v>
      </c>
      <c r="B30">
        <v>2021</v>
      </c>
      <c r="C30" t="s">
        <v>44</v>
      </c>
      <c r="D30" s="2">
        <v>6.8761000000000001</v>
      </c>
      <c r="E30" s="2">
        <v>4.5685000000000002</v>
      </c>
      <c r="I30" s="2">
        <f t="shared" si="0"/>
        <v>6.0558666666666667</v>
      </c>
      <c r="J30" s="2">
        <f t="shared" si="1"/>
        <v>3.7483333333333335</v>
      </c>
      <c r="K30" s="2">
        <f t="shared" si="2"/>
        <v>2.3075999999999999</v>
      </c>
      <c r="L30" s="4">
        <f t="shared" si="3"/>
        <v>0.38105198265043261</v>
      </c>
      <c r="O30">
        <f t="shared" si="4"/>
        <v>0.61561582925744773</v>
      </c>
      <c r="Q30">
        <f t="shared" si="5"/>
        <v>61.561582925744773</v>
      </c>
    </row>
    <row r="31" spans="1:18" x14ac:dyDescent="0.2">
      <c r="A31">
        <v>30</v>
      </c>
      <c r="B31">
        <v>2021</v>
      </c>
      <c r="C31" t="s">
        <v>45</v>
      </c>
      <c r="D31" s="2">
        <v>5.6936999999999998</v>
      </c>
      <c r="E31" s="2">
        <v>3.8563000000000001</v>
      </c>
      <c r="I31" s="2">
        <f t="shared" si="0"/>
        <v>4.8734666666666664</v>
      </c>
      <c r="J31" s="2">
        <f t="shared" si="1"/>
        <v>3.0361333333333334</v>
      </c>
      <c r="K31" s="2">
        <f t="shared" si="2"/>
        <v>1.8373999999999997</v>
      </c>
      <c r="L31" s="4">
        <f t="shared" si="3"/>
        <v>0.37702114853218788</v>
      </c>
      <c r="O31">
        <f t="shared" si="4"/>
        <v>0.60515568047077417</v>
      </c>
      <c r="Q31">
        <f t="shared" si="5"/>
        <v>60.515568047077416</v>
      </c>
    </row>
    <row r="32" spans="1:18" x14ac:dyDescent="0.2">
      <c r="A32">
        <v>31</v>
      </c>
      <c r="B32">
        <v>2021</v>
      </c>
      <c r="C32" t="s">
        <v>46</v>
      </c>
      <c r="D32" s="2">
        <v>7.7028999999999996</v>
      </c>
      <c r="E32" s="2">
        <v>5.1590999999999996</v>
      </c>
      <c r="I32" s="2">
        <f t="shared" si="0"/>
        <v>6.8826666666666663</v>
      </c>
      <c r="J32" s="2">
        <f t="shared" si="1"/>
        <v>4.3389333333333333</v>
      </c>
      <c r="K32" s="2">
        <f t="shared" si="2"/>
        <v>2.5438000000000001</v>
      </c>
      <c r="L32" s="4">
        <f t="shared" si="3"/>
        <v>0.36959511817125146</v>
      </c>
      <c r="M32" s="4">
        <f>AVERAGE(L32:L34)</f>
        <v>0.36760373491777704</v>
      </c>
      <c r="N32">
        <v>11</v>
      </c>
      <c r="O32">
        <f t="shared" si="4"/>
        <v>0.58625775920349077</v>
      </c>
      <c r="P32" s="4">
        <f>AVERAGE(O32:O34)</f>
        <v>0.58126919723636739</v>
      </c>
      <c r="Q32">
        <f t="shared" si="5"/>
        <v>58.625775920349078</v>
      </c>
      <c r="R32" s="4">
        <f>AVERAGE(Q32:Q34)</f>
        <v>58.126919723636739</v>
      </c>
    </row>
    <row r="33" spans="1:18" x14ac:dyDescent="0.2">
      <c r="A33">
        <v>32</v>
      </c>
      <c r="B33">
        <v>2021</v>
      </c>
      <c r="C33" t="s">
        <v>47</v>
      </c>
      <c r="D33" s="2">
        <v>7.2337999999999996</v>
      </c>
      <c r="E33" s="2">
        <v>4.8826999999999998</v>
      </c>
      <c r="I33" s="2">
        <f t="shared" si="0"/>
        <v>6.4135666666666662</v>
      </c>
      <c r="J33" s="2">
        <f t="shared" si="1"/>
        <v>4.0625333333333327</v>
      </c>
      <c r="K33" s="2">
        <f t="shared" si="2"/>
        <v>2.3510999999999997</v>
      </c>
      <c r="L33" s="4">
        <f t="shared" si="3"/>
        <v>0.36658229690187988</v>
      </c>
      <c r="O33">
        <f t="shared" si="4"/>
        <v>0.57871114903672605</v>
      </c>
      <c r="Q33">
        <f t="shared" si="5"/>
        <v>57.871114903672606</v>
      </c>
    </row>
    <row r="34" spans="1:18" x14ac:dyDescent="0.2">
      <c r="A34">
        <v>33</v>
      </c>
      <c r="B34">
        <v>2021</v>
      </c>
      <c r="C34" t="s">
        <v>48</v>
      </c>
      <c r="D34" s="2">
        <v>7.0387000000000004</v>
      </c>
      <c r="E34" s="2">
        <v>4.7587999999999999</v>
      </c>
      <c r="I34" s="2">
        <f t="shared" si="0"/>
        <v>6.218466666666667</v>
      </c>
      <c r="J34" s="2">
        <f t="shared" si="1"/>
        <v>3.9386333333333332</v>
      </c>
      <c r="K34" s="2">
        <f t="shared" si="2"/>
        <v>2.2799000000000005</v>
      </c>
      <c r="L34" s="4">
        <f t="shared" si="3"/>
        <v>0.36663378968019988</v>
      </c>
      <c r="O34">
        <f t="shared" si="4"/>
        <v>0.57883868346888534</v>
      </c>
      <c r="Q34">
        <f t="shared" si="5"/>
        <v>57.883868346888534</v>
      </c>
    </row>
    <row r="35" spans="1:18" x14ac:dyDescent="0.2">
      <c r="A35">
        <v>34</v>
      </c>
      <c r="B35">
        <v>2021</v>
      </c>
      <c r="C35" t="s">
        <v>49</v>
      </c>
      <c r="D35" s="2">
        <v>7.3033999999999999</v>
      </c>
      <c r="E35" s="2">
        <v>4.8121999999999998</v>
      </c>
      <c r="I35" s="2">
        <f t="shared" si="0"/>
        <v>6.4831666666666665</v>
      </c>
      <c r="J35" s="2">
        <f t="shared" si="1"/>
        <v>3.9920333333333331</v>
      </c>
      <c r="K35" s="2">
        <f t="shared" si="2"/>
        <v>2.4912000000000001</v>
      </c>
      <c r="L35" s="4">
        <f t="shared" si="3"/>
        <v>0.38425666469575054</v>
      </c>
      <c r="M35" s="4">
        <f>AVERAGE(L35:L37)</f>
        <v>0.38080189764840472</v>
      </c>
      <c r="N35">
        <v>12</v>
      </c>
      <c r="O35">
        <f t="shared" si="4"/>
        <v>0.62402618548609323</v>
      </c>
      <c r="P35" s="4">
        <f>AVERAGE(O35:O37)</f>
        <v>0.61499013861211194</v>
      </c>
      <c r="Q35">
        <f t="shared" si="5"/>
        <v>62.402618548609325</v>
      </c>
      <c r="R35" s="4">
        <f>AVERAGE(Q35:Q37)</f>
        <v>61.499013861211189</v>
      </c>
    </row>
    <row r="36" spans="1:18" x14ac:dyDescent="0.2">
      <c r="A36">
        <v>35</v>
      </c>
      <c r="B36">
        <v>2021</v>
      </c>
      <c r="C36" t="s">
        <v>50</v>
      </c>
      <c r="D36" s="2">
        <v>7.8052999999999999</v>
      </c>
      <c r="E36" s="2">
        <v>5.1532999999999998</v>
      </c>
      <c r="I36" s="2">
        <f t="shared" si="0"/>
        <v>6.9850666666666665</v>
      </c>
      <c r="J36" s="2">
        <f t="shared" si="1"/>
        <v>4.3331333333333326</v>
      </c>
      <c r="K36" s="2">
        <f t="shared" si="2"/>
        <v>2.6520000000000001</v>
      </c>
      <c r="L36" s="4">
        <f t="shared" si="3"/>
        <v>0.37966709933572579</v>
      </c>
      <c r="O36">
        <f t="shared" si="4"/>
        <v>0.6120128621320986</v>
      </c>
      <c r="Q36">
        <f t="shared" si="5"/>
        <v>61.201286213209862</v>
      </c>
    </row>
    <row r="37" spans="1:18" x14ac:dyDescent="0.2">
      <c r="A37">
        <v>36</v>
      </c>
      <c r="B37">
        <v>2021</v>
      </c>
      <c r="C37" t="s">
        <v>51</v>
      </c>
      <c r="D37" s="2">
        <v>6.1620999999999997</v>
      </c>
      <c r="E37" s="2">
        <v>4.1402999999999999</v>
      </c>
      <c r="I37" s="2">
        <f t="shared" si="0"/>
        <v>5.3418666666666663</v>
      </c>
      <c r="J37" s="2">
        <f t="shared" si="1"/>
        <v>3.3201333333333332</v>
      </c>
      <c r="K37" s="2">
        <f t="shared" si="2"/>
        <v>2.0217999999999998</v>
      </c>
      <c r="L37" s="4">
        <f t="shared" si="3"/>
        <v>0.378481928913738</v>
      </c>
      <c r="O37">
        <f t="shared" si="4"/>
        <v>0.60893136821814386</v>
      </c>
      <c r="Q37">
        <f t="shared" si="5"/>
        <v>60.893136821814387</v>
      </c>
    </row>
    <row r="38" spans="1:18" x14ac:dyDescent="0.2">
      <c r="A38">
        <v>37</v>
      </c>
      <c r="B38">
        <v>2021</v>
      </c>
      <c r="C38" t="s">
        <v>52</v>
      </c>
      <c r="D38" s="2">
        <v>7.9215</v>
      </c>
      <c r="E38" s="2">
        <v>5.4337999999999997</v>
      </c>
      <c r="I38" s="2">
        <f t="shared" si="0"/>
        <v>7.1012666666666666</v>
      </c>
      <c r="J38" s="2">
        <f t="shared" si="1"/>
        <v>4.6136333333333326</v>
      </c>
      <c r="K38" s="2">
        <f t="shared" si="2"/>
        <v>2.4877000000000002</v>
      </c>
      <c r="L38" s="4">
        <f t="shared" si="3"/>
        <v>0.35031778368178451</v>
      </c>
      <c r="M38" s="4">
        <f>AVERAGE(L38:L40)</f>
        <v>0.34972809204365324</v>
      </c>
      <c r="N38">
        <v>13</v>
      </c>
      <c r="O38">
        <f t="shared" si="4"/>
        <v>0.53919181556112705</v>
      </c>
      <c r="P38" s="4">
        <f>AVERAGE(O38:O40)</f>
        <v>0.53779764582909195</v>
      </c>
      <c r="Q38">
        <f t="shared" si="5"/>
        <v>53.919181556112704</v>
      </c>
      <c r="R38" s="4">
        <f>AVERAGE(Q38:Q40)</f>
        <v>53.779764582909195</v>
      </c>
    </row>
    <row r="39" spans="1:18" x14ac:dyDescent="0.2">
      <c r="A39">
        <v>38</v>
      </c>
      <c r="B39">
        <v>2021</v>
      </c>
      <c r="C39" t="s">
        <v>53</v>
      </c>
      <c r="D39" s="2">
        <v>7.3037999999999998</v>
      </c>
      <c r="E39" s="2">
        <v>5.0328999999999997</v>
      </c>
      <c r="I39" s="2">
        <f t="shared" si="0"/>
        <v>6.4835666666666665</v>
      </c>
      <c r="J39" s="2">
        <f t="shared" si="1"/>
        <v>4.2127333333333326</v>
      </c>
      <c r="K39" s="2">
        <f t="shared" si="2"/>
        <v>2.2709000000000001</v>
      </c>
      <c r="L39" s="4">
        <f t="shared" si="3"/>
        <v>0.35025474661580308</v>
      </c>
      <c r="O39">
        <f t="shared" si="4"/>
        <v>0.5390403696728967</v>
      </c>
      <c r="Q39">
        <f t="shared" si="5"/>
        <v>53.90403696728967</v>
      </c>
    </row>
    <row r="40" spans="1:18" x14ac:dyDescent="0.2">
      <c r="A40">
        <v>39</v>
      </c>
      <c r="B40">
        <v>2021</v>
      </c>
      <c r="C40" t="s">
        <v>54</v>
      </c>
      <c r="D40" s="2">
        <v>7.9683000000000002</v>
      </c>
      <c r="E40" s="2">
        <v>5.4763999999999999</v>
      </c>
      <c r="I40" s="2">
        <f t="shared" si="0"/>
        <v>7.1480666666666668</v>
      </c>
      <c r="J40" s="2">
        <f t="shared" si="1"/>
        <v>4.6562333333333328</v>
      </c>
      <c r="K40" s="2">
        <f t="shared" si="2"/>
        <v>2.4919000000000002</v>
      </c>
      <c r="L40" s="4">
        <f t="shared" si="3"/>
        <v>0.34861174583337223</v>
      </c>
      <c r="O40">
        <f t="shared" si="4"/>
        <v>0.5351607522532521</v>
      </c>
      <c r="Q40">
        <f t="shared" si="5"/>
        <v>53.51607522532521</v>
      </c>
    </row>
    <row r="41" spans="1:18" x14ac:dyDescent="0.2">
      <c r="A41">
        <v>40</v>
      </c>
      <c r="B41">
        <v>2021</v>
      </c>
      <c r="C41" t="s">
        <v>55</v>
      </c>
      <c r="D41" s="2">
        <v>8.2751999999999999</v>
      </c>
      <c r="E41" s="2">
        <v>5.2081</v>
      </c>
      <c r="I41" s="2">
        <f t="shared" si="0"/>
        <v>7.4549666666666665</v>
      </c>
      <c r="J41" s="2">
        <f t="shared" si="1"/>
        <v>4.3879333333333328</v>
      </c>
      <c r="K41" s="2">
        <f t="shared" si="2"/>
        <v>3.0670999999999999</v>
      </c>
      <c r="L41" s="4">
        <f t="shared" si="3"/>
        <v>0.41141699716967212</v>
      </c>
      <c r="M41" s="4">
        <f>AVERAGE(L41:L43)</f>
        <v>0.40802688736074355</v>
      </c>
      <c r="N41">
        <v>14</v>
      </c>
      <c r="O41">
        <f t="shared" si="4"/>
        <v>0.69896990230784439</v>
      </c>
      <c r="P41" s="4">
        <f>AVERAGE(O41:O43)</f>
        <v>0.68935887026340981</v>
      </c>
      <c r="Q41">
        <f t="shared" si="5"/>
        <v>69.896990230784439</v>
      </c>
      <c r="R41" s="4">
        <f>AVERAGE(Q41:Q43)</f>
        <v>68.935887026340978</v>
      </c>
    </row>
    <row r="42" spans="1:18" x14ac:dyDescent="0.2">
      <c r="A42">
        <v>41</v>
      </c>
      <c r="B42">
        <v>2021</v>
      </c>
      <c r="C42" t="s">
        <v>56</v>
      </c>
      <c r="D42" s="2">
        <v>8.3185000000000002</v>
      </c>
      <c r="E42" s="2">
        <v>5.2313999999999998</v>
      </c>
      <c r="I42" s="2">
        <f t="shared" si="0"/>
        <v>7.4982666666666669</v>
      </c>
      <c r="J42" s="2">
        <f t="shared" si="1"/>
        <v>4.4112333333333336</v>
      </c>
      <c r="K42" s="2">
        <f t="shared" si="2"/>
        <v>3.0871000000000004</v>
      </c>
      <c r="L42" s="4">
        <f t="shared" si="3"/>
        <v>0.41170848373846403</v>
      </c>
      <c r="O42">
        <f t="shared" si="4"/>
        <v>0.69981184400432228</v>
      </c>
      <c r="Q42">
        <f t="shared" si="5"/>
        <v>69.981184400432227</v>
      </c>
    </row>
    <row r="43" spans="1:18" x14ac:dyDescent="0.2">
      <c r="A43">
        <v>42</v>
      </c>
      <c r="B43">
        <v>2021</v>
      </c>
      <c r="C43" t="s">
        <v>57</v>
      </c>
      <c r="D43" s="2">
        <v>7.1576000000000004</v>
      </c>
      <c r="E43" s="2">
        <v>4.6166</v>
      </c>
      <c r="I43" s="2">
        <f t="shared" si="0"/>
        <v>6.337366666666667</v>
      </c>
      <c r="J43" s="2">
        <f t="shared" si="1"/>
        <v>3.7964333333333333</v>
      </c>
      <c r="K43" s="2">
        <f t="shared" si="2"/>
        <v>2.5410000000000004</v>
      </c>
      <c r="L43" s="4">
        <f t="shared" si="3"/>
        <v>0.40095518117409445</v>
      </c>
      <c r="O43">
        <f t="shared" si="4"/>
        <v>0.66929486447806286</v>
      </c>
      <c r="Q43">
        <f t="shared" si="5"/>
        <v>66.929486447806283</v>
      </c>
    </row>
    <row r="44" spans="1:18" x14ac:dyDescent="0.2">
      <c r="A44">
        <v>43</v>
      </c>
      <c r="B44">
        <v>2021</v>
      </c>
      <c r="C44" t="s">
        <v>58</v>
      </c>
      <c r="D44" s="2">
        <v>6.5609999999999999</v>
      </c>
      <c r="E44" s="2">
        <v>4.0320999999999998</v>
      </c>
      <c r="I44" s="2">
        <f t="shared" si="0"/>
        <v>5.7407666666666666</v>
      </c>
      <c r="J44" s="2">
        <f t="shared" si="1"/>
        <v>3.2119333333333331</v>
      </c>
      <c r="K44" s="2">
        <f t="shared" si="2"/>
        <v>2.5289000000000001</v>
      </c>
      <c r="L44" s="4">
        <f t="shared" si="3"/>
        <v>0.44051607508869317</v>
      </c>
      <c r="M44" s="4">
        <f>AVERAGE(L44:L46)</f>
        <v>0.44326424703628459</v>
      </c>
      <c r="N44">
        <v>15</v>
      </c>
      <c r="O44">
        <f t="shared" si="4"/>
        <v>0.78732435293385095</v>
      </c>
      <c r="P44" s="4">
        <f>AVERAGE(O44:O46)</f>
        <v>0.79620525935644315</v>
      </c>
      <c r="Q44">
        <f t="shared" si="5"/>
        <v>78.732435293385095</v>
      </c>
      <c r="R44" s="4">
        <f>AVERAGE(Q44:Q46)</f>
        <v>79.620525935644324</v>
      </c>
    </row>
    <row r="45" spans="1:18" x14ac:dyDescent="0.2">
      <c r="A45">
        <v>44</v>
      </c>
      <c r="B45">
        <v>2021</v>
      </c>
      <c r="C45" t="s">
        <v>59</v>
      </c>
      <c r="D45" s="2">
        <v>6.0784000000000002</v>
      </c>
      <c r="E45" s="2">
        <v>3.7565</v>
      </c>
      <c r="I45" s="2">
        <f t="shared" si="0"/>
        <v>5.2581666666666669</v>
      </c>
      <c r="J45" s="2">
        <f t="shared" si="1"/>
        <v>2.9363333333333332</v>
      </c>
      <c r="K45" s="2">
        <f t="shared" si="2"/>
        <v>2.3219000000000003</v>
      </c>
      <c r="L45" s="4">
        <f t="shared" si="3"/>
        <v>0.44157976481029515</v>
      </c>
      <c r="O45">
        <f t="shared" si="4"/>
        <v>0.79072539448291534</v>
      </c>
      <c r="Q45">
        <f t="shared" si="5"/>
        <v>79.072539448291536</v>
      </c>
    </row>
    <row r="46" spans="1:18" x14ac:dyDescent="0.2">
      <c r="A46">
        <v>45</v>
      </c>
      <c r="B46">
        <v>2021</v>
      </c>
      <c r="C46" t="s">
        <v>60</v>
      </c>
      <c r="D46" s="2">
        <v>7.2507000000000001</v>
      </c>
      <c r="E46" s="2">
        <v>4.3718000000000004</v>
      </c>
      <c r="I46" s="2">
        <f t="shared" si="0"/>
        <v>6.4304666666666668</v>
      </c>
      <c r="J46" s="2">
        <f t="shared" si="1"/>
        <v>3.5516333333333336</v>
      </c>
      <c r="K46" s="2">
        <f t="shared" si="2"/>
        <v>2.8788999999999998</v>
      </c>
      <c r="L46" s="4">
        <f t="shared" si="3"/>
        <v>0.44769690120986549</v>
      </c>
      <c r="O46">
        <f t="shared" si="4"/>
        <v>0.8105660306525635</v>
      </c>
      <c r="Q46">
        <f t="shared" si="5"/>
        <v>81.056603065256354</v>
      </c>
    </row>
    <row r="47" spans="1:18" x14ac:dyDescent="0.2">
      <c r="A47">
        <v>46</v>
      </c>
      <c r="B47">
        <v>2021</v>
      </c>
      <c r="C47" t="s">
        <v>61</v>
      </c>
      <c r="D47" s="2">
        <v>10.039300000000001</v>
      </c>
      <c r="E47" s="2">
        <v>6.9447000000000001</v>
      </c>
      <c r="I47" s="2">
        <f t="shared" si="0"/>
        <v>9.2190666666666665</v>
      </c>
      <c r="J47" s="2">
        <f t="shared" si="1"/>
        <v>6.1245333333333338</v>
      </c>
      <c r="K47" s="2">
        <f t="shared" si="2"/>
        <v>3.0946000000000007</v>
      </c>
      <c r="L47" s="4">
        <f t="shared" si="3"/>
        <v>0.33567389323575786</v>
      </c>
      <c r="M47" s="4">
        <f>AVERAGE(L47:L49)</f>
        <v>0.31351346554374898</v>
      </c>
      <c r="N47">
        <v>16</v>
      </c>
      <c r="O47">
        <f t="shared" si="4"/>
        <v>0.50526842861496912</v>
      </c>
      <c r="P47" s="4">
        <f>AVERAGE(O47:O49)</f>
        <v>0.45878679981378778</v>
      </c>
      <c r="Q47">
        <f t="shared" si="5"/>
        <v>50.52684286149691</v>
      </c>
      <c r="R47" s="4">
        <f>AVERAGE(Q47:Q49)</f>
        <v>45.878679981378781</v>
      </c>
    </row>
    <row r="48" spans="1:18" x14ac:dyDescent="0.2">
      <c r="A48">
        <v>47</v>
      </c>
      <c r="B48">
        <v>2021</v>
      </c>
      <c r="C48" t="s">
        <v>62</v>
      </c>
      <c r="D48" s="2">
        <v>7.2272999999999996</v>
      </c>
      <c r="E48" s="2">
        <v>5.1223000000000001</v>
      </c>
      <c r="I48" s="2">
        <f t="shared" si="0"/>
        <v>6.4070666666666662</v>
      </c>
      <c r="J48" s="2">
        <f t="shared" si="1"/>
        <v>4.3021333333333338</v>
      </c>
      <c r="K48" s="2">
        <f t="shared" si="2"/>
        <v>2.1049999999999995</v>
      </c>
      <c r="L48" s="4">
        <f t="shared" si="3"/>
        <v>0.32854348323725879</v>
      </c>
      <c r="O48">
        <f t="shared" si="4"/>
        <v>0.48927663794706477</v>
      </c>
      <c r="Q48">
        <f t="shared" si="5"/>
        <v>48.927663794706476</v>
      </c>
    </row>
    <row r="49" spans="1:18" x14ac:dyDescent="0.2">
      <c r="A49">
        <v>48</v>
      </c>
      <c r="B49">
        <v>2021</v>
      </c>
      <c r="C49" t="s">
        <v>63</v>
      </c>
      <c r="D49" s="2">
        <v>8.4631000000000007</v>
      </c>
      <c r="E49" s="2">
        <v>6.3512000000000004</v>
      </c>
      <c r="I49" s="2">
        <f t="shared" si="0"/>
        <v>7.6428666666666674</v>
      </c>
      <c r="J49" s="2">
        <f t="shared" si="1"/>
        <v>5.5310333333333332</v>
      </c>
      <c r="K49" s="2">
        <f t="shared" si="2"/>
        <v>2.1119000000000003</v>
      </c>
      <c r="L49" s="4">
        <f t="shared" si="3"/>
        <v>0.27632302015823035</v>
      </c>
      <c r="O49">
        <f t="shared" si="4"/>
        <v>0.38181533287932951</v>
      </c>
      <c r="Q49">
        <f t="shared" si="5"/>
        <v>38.18153328793295</v>
      </c>
    </row>
    <row r="50" spans="1:18" x14ac:dyDescent="0.2">
      <c r="A50">
        <v>49</v>
      </c>
      <c r="B50">
        <v>2021</v>
      </c>
      <c r="C50" t="s">
        <v>64</v>
      </c>
      <c r="D50" s="2">
        <v>7.1029999999999998</v>
      </c>
      <c r="E50" s="2">
        <v>4.8042999999999996</v>
      </c>
      <c r="I50" s="2">
        <f t="shared" si="0"/>
        <v>6.2827666666666664</v>
      </c>
      <c r="J50" s="2">
        <f t="shared" si="1"/>
        <v>3.9841333333333329</v>
      </c>
      <c r="K50" s="2">
        <f t="shared" si="2"/>
        <v>2.2987000000000002</v>
      </c>
      <c r="L50" s="4">
        <f t="shared" si="3"/>
        <v>0.36587384538658663</v>
      </c>
      <c r="M50" s="4">
        <f>AVERAGE(L50:L52)</f>
        <v>0.35584861880655438</v>
      </c>
      <c r="N50">
        <v>17</v>
      </c>
      <c r="O50">
        <f t="shared" si="4"/>
        <v>0.57694688932766658</v>
      </c>
      <c r="P50" s="4">
        <f>AVERAGE(O50:O52)</f>
        <v>0.55309561616612901</v>
      </c>
      <c r="Q50">
        <f t="shared" si="5"/>
        <v>57.69468893276666</v>
      </c>
      <c r="R50" s="4">
        <f>AVERAGE(Q50:Q52)</f>
        <v>55.309561616612903</v>
      </c>
    </row>
    <row r="51" spans="1:18" x14ac:dyDescent="0.2">
      <c r="A51">
        <v>50</v>
      </c>
      <c r="B51">
        <v>2021</v>
      </c>
      <c r="C51" t="s">
        <v>65</v>
      </c>
      <c r="D51" s="2">
        <v>6.6585999999999999</v>
      </c>
      <c r="E51" s="2">
        <v>4.6940999999999997</v>
      </c>
      <c r="I51" s="2">
        <f t="shared" si="0"/>
        <v>5.8383666666666665</v>
      </c>
      <c r="J51" s="2">
        <f t="shared" si="1"/>
        <v>3.873933333333333</v>
      </c>
      <c r="K51" s="2">
        <f t="shared" si="2"/>
        <v>1.9645000000000001</v>
      </c>
      <c r="L51" s="4">
        <f t="shared" si="3"/>
        <v>0.33648109345650329</v>
      </c>
      <c r="O51">
        <f t="shared" si="4"/>
        <v>0.50709012373298468</v>
      </c>
      <c r="Q51">
        <f t="shared" si="5"/>
        <v>50.709012373298471</v>
      </c>
    </row>
    <row r="52" spans="1:18" x14ac:dyDescent="0.2">
      <c r="A52">
        <v>51</v>
      </c>
      <c r="B52">
        <v>2021</v>
      </c>
      <c r="C52" t="s">
        <v>66</v>
      </c>
      <c r="D52" s="2">
        <v>6.9625000000000004</v>
      </c>
      <c r="E52" s="2">
        <v>4.7194000000000003</v>
      </c>
      <c r="I52" s="2">
        <f t="shared" si="0"/>
        <v>6.142266666666667</v>
      </c>
      <c r="J52" s="2">
        <f t="shared" si="1"/>
        <v>3.8992333333333336</v>
      </c>
      <c r="K52" s="2">
        <f t="shared" si="2"/>
        <v>2.2431000000000001</v>
      </c>
      <c r="L52" s="4">
        <f t="shared" si="3"/>
        <v>0.36519091757657324</v>
      </c>
      <c r="O52">
        <f t="shared" si="4"/>
        <v>0.57524983543773567</v>
      </c>
      <c r="Q52">
        <f t="shared" si="5"/>
        <v>57.524983543773565</v>
      </c>
    </row>
    <row r="53" spans="1:18" x14ac:dyDescent="0.2">
      <c r="A53">
        <v>52</v>
      </c>
      <c r="B53">
        <v>2021</v>
      </c>
      <c r="C53" t="s">
        <v>67</v>
      </c>
      <c r="D53" s="2">
        <v>7.6470000000000002</v>
      </c>
      <c r="E53" s="2">
        <v>5.1978</v>
      </c>
      <c r="I53" s="2">
        <f t="shared" si="0"/>
        <v>6.8267666666666669</v>
      </c>
      <c r="J53" s="2">
        <f t="shared" si="1"/>
        <v>4.3776333333333337</v>
      </c>
      <c r="K53" s="2">
        <f t="shared" si="2"/>
        <v>2.4492000000000003</v>
      </c>
      <c r="L53" s="4">
        <f t="shared" si="3"/>
        <v>0.35876427591392707</v>
      </c>
      <c r="M53" s="4">
        <f>AVERAGE(L53:L55)</f>
        <v>0.35724709159993839</v>
      </c>
      <c r="N53">
        <v>18</v>
      </c>
      <c r="O53">
        <f t="shared" si="4"/>
        <v>0.55946516001797009</v>
      </c>
      <c r="P53" s="4">
        <f>AVERAGE(O53:O55)</f>
        <v>0.55581627620901231</v>
      </c>
      <c r="Q53">
        <f t="shared" si="5"/>
        <v>55.946516001797008</v>
      </c>
      <c r="R53" s="4">
        <f>AVERAGE(Q53:Q55)</f>
        <v>55.58162762090123</v>
      </c>
    </row>
    <row r="54" spans="1:18" x14ac:dyDescent="0.2">
      <c r="A54">
        <v>53</v>
      </c>
      <c r="B54">
        <v>2021</v>
      </c>
      <c r="C54" t="s">
        <v>68</v>
      </c>
      <c r="D54" s="2">
        <v>6.0894000000000004</v>
      </c>
      <c r="E54" s="2">
        <v>4.1921999999999997</v>
      </c>
      <c r="I54" s="2">
        <f t="shared" si="0"/>
        <v>5.269166666666667</v>
      </c>
      <c r="J54" s="2">
        <f t="shared" si="1"/>
        <v>3.372033333333333</v>
      </c>
      <c r="K54" s="2">
        <f t="shared" si="2"/>
        <v>1.8972000000000007</v>
      </c>
      <c r="L54" s="4">
        <f t="shared" si="3"/>
        <v>0.36005693499920932</v>
      </c>
      <c r="O54">
        <f t="shared" si="4"/>
        <v>0.56260811972993574</v>
      </c>
      <c r="Q54">
        <f t="shared" si="5"/>
        <v>56.260811972993572</v>
      </c>
    </row>
    <row r="55" spans="1:18" x14ac:dyDescent="0.2">
      <c r="A55">
        <v>54</v>
      </c>
      <c r="B55">
        <v>2021</v>
      </c>
      <c r="C55" t="s">
        <v>69</v>
      </c>
      <c r="D55" s="2">
        <v>6.3925999999999998</v>
      </c>
      <c r="E55" s="2">
        <v>4.4260000000000002</v>
      </c>
      <c r="I55" s="2">
        <f t="shared" si="0"/>
        <v>5.5723666666666665</v>
      </c>
      <c r="J55" s="2">
        <f t="shared" si="1"/>
        <v>3.6058333333333334</v>
      </c>
      <c r="K55" s="2">
        <f t="shared" si="2"/>
        <v>1.9665999999999997</v>
      </c>
      <c r="L55" s="4">
        <f t="shared" si="3"/>
        <v>0.35292006388667885</v>
      </c>
      <c r="O55">
        <f t="shared" si="4"/>
        <v>0.54537554887913098</v>
      </c>
      <c r="Q55">
        <f t="shared" si="5"/>
        <v>54.537554887913096</v>
      </c>
    </row>
    <row r="56" spans="1:18" x14ac:dyDescent="0.2">
      <c r="A56">
        <v>55</v>
      </c>
      <c r="B56">
        <v>2021</v>
      </c>
      <c r="C56" t="s">
        <v>70</v>
      </c>
      <c r="D56" s="2">
        <v>8.1753</v>
      </c>
      <c r="E56" s="2">
        <v>6.4292999999999996</v>
      </c>
      <c r="I56" s="2">
        <f t="shared" si="0"/>
        <v>7.3550666666666666</v>
      </c>
      <c r="J56" s="2">
        <f t="shared" si="1"/>
        <v>5.6091333333333324</v>
      </c>
      <c r="K56" s="2">
        <f t="shared" si="2"/>
        <v>1.7460000000000004</v>
      </c>
      <c r="L56" s="4">
        <f t="shared" si="3"/>
        <v>0.23738737922157974</v>
      </c>
      <c r="M56" s="4">
        <f>AVERAGE(L56:L58)</f>
        <v>0.23805602151049368</v>
      </c>
      <c r="N56">
        <v>19</v>
      </c>
      <c r="O56">
        <f t="shared" si="4"/>
        <v>0.31126614925656987</v>
      </c>
      <c r="P56" s="4">
        <f>AVERAGE(O56:O58)</f>
        <v>0.3124184694361381</v>
      </c>
      <c r="Q56">
        <f t="shared" si="5"/>
        <v>31.126614925656988</v>
      </c>
      <c r="R56" s="4">
        <f>AVERAGE(Q56:Q58)</f>
        <v>31.241846943613812</v>
      </c>
    </row>
    <row r="57" spans="1:18" x14ac:dyDescent="0.2">
      <c r="A57">
        <v>56</v>
      </c>
      <c r="B57">
        <v>2021</v>
      </c>
      <c r="C57" t="s">
        <v>71</v>
      </c>
      <c r="D57" s="2">
        <v>8.6555</v>
      </c>
      <c r="E57" s="2">
        <v>6.7846000000000002</v>
      </c>
      <c r="I57" s="2">
        <f t="shared" si="0"/>
        <v>7.8352666666666666</v>
      </c>
      <c r="J57" s="2">
        <f t="shared" si="1"/>
        <v>5.9644333333333339</v>
      </c>
      <c r="K57" s="2">
        <f t="shared" si="2"/>
        <v>1.8708999999999998</v>
      </c>
      <c r="L57" s="4">
        <f t="shared" si="3"/>
        <v>0.23877936509287068</v>
      </c>
      <c r="O57">
        <f t="shared" si="4"/>
        <v>0.31366489132803882</v>
      </c>
      <c r="Q57">
        <f t="shared" si="5"/>
        <v>31.366489132803881</v>
      </c>
    </row>
    <row r="58" spans="1:18" x14ac:dyDescent="0.2">
      <c r="A58">
        <v>57</v>
      </c>
      <c r="B58">
        <v>2021</v>
      </c>
      <c r="C58" t="s">
        <v>72</v>
      </c>
      <c r="D58" s="2">
        <v>9.1016999999999992</v>
      </c>
      <c r="E58" s="2">
        <v>7.1307</v>
      </c>
      <c r="I58" s="2">
        <f t="shared" si="0"/>
        <v>8.2814666666666668</v>
      </c>
      <c r="J58" s="2">
        <f t="shared" si="1"/>
        <v>6.3105333333333338</v>
      </c>
      <c r="K58" s="2">
        <f t="shared" si="2"/>
        <v>1.9709999999999992</v>
      </c>
      <c r="L58" s="4">
        <f t="shared" si="3"/>
        <v>0.23800132021703069</v>
      </c>
      <c r="O58">
        <f t="shared" si="4"/>
        <v>0.31232436772380562</v>
      </c>
      <c r="Q58">
        <f t="shared" si="5"/>
        <v>31.232436772380563</v>
      </c>
    </row>
    <row r="59" spans="1:18" x14ac:dyDescent="0.2">
      <c r="A59">
        <v>58</v>
      </c>
      <c r="B59">
        <v>2021</v>
      </c>
      <c r="C59" t="s">
        <v>73</v>
      </c>
      <c r="D59" s="2">
        <v>5.9734999999999996</v>
      </c>
      <c r="E59" s="2">
        <v>4.7473000000000001</v>
      </c>
      <c r="I59" s="2">
        <f t="shared" si="0"/>
        <v>5.1532666666666662</v>
      </c>
      <c r="J59" s="2">
        <f t="shared" si="1"/>
        <v>3.9271333333333334</v>
      </c>
      <c r="K59" s="2">
        <f t="shared" si="2"/>
        <v>1.2261999999999995</v>
      </c>
      <c r="L59" s="4">
        <f t="shared" si="3"/>
        <v>0.23794615713010511</v>
      </c>
      <c r="M59" s="4">
        <f>AVERAGE(L59:L61)</f>
        <v>0.23742265940617255</v>
      </c>
      <c r="N59">
        <v>20</v>
      </c>
      <c r="O59">
        <f t="shared" si="4"/>
        <v>0.31222095845994519</v>
      </c>
      <c r="P59" s="4">
        <f>AVERAGE(O59:O61)</f>
        <v>0.31132459266350859</v>
      </c>
      <c r="Q59">
        <f t="shared" si="5"/>
        <v>31.22209584599452</v>
      </c>
      <c r="R59" s="4">
        <f>AVERAGE(Q59:Q61)</f>
        <v>31.132459266350853</v>
      </c>
    </row>
    <row r="60" spans="1:18" x14ac:dyDescent="0.2">
      <c r="A60">
        <v>59</v>
      </c>
      <c r="B60">
        <v>2021</v>
      </c>
      <c r="C60" t="s">
        <v>74</v>
      </c>
      <c r="D60" s="2">
        <v>7.0602</v>
      </c>
      <c r="E60" s="2">
        <v>5.5753000000000004</v>
      </c>
      <c r="I60" s="2">
        <f t="shared" si="0"/>
        <v>6.2399666666666667</v>
      </c>
      <c r="J60" s="2">
        <f t="shared" si="1"/>
        <v>4.7551333333333332</v>
      </c>
      <c r="K60" s="2">
        <f t="shared" si="2"/>
        <v>1.4848999999999997</v>
      </c>
      <c r="L60" s="4">
        <f t="shared" si="3"/>
        <v>0.23796601477571991</v>
      </c>
      <c r="O60">
        <f t="shared" si="4"/>
        <v>0.31225903234399321</v>
      </c>
      <c r="Q60">
        <f t="shared" si="5"/>
        <v>31.225903234399322</v>
      </c>
    </row>
    <row r="61" spans="1:18" x14ac:dyDescent="0.2">
      <c r="A61">
        <v>60</v>
      </c>
      <c r="B61">
        <v>2021</v>
      </c>
      <c r="C61" t="s">
        <v>75</v>
      </c>
      <c r="D61" s="2">
        <v>7.7089999999999996</v>
      </c>
      <c r="E61" s="2">
        <v>6.0808</v>
      </c>
      <c r="I61" s="2">
        <f t="shared" si="0"/>
        <v>6.8887666666666663</v>
      </c>
      <c r="J61" s="2">
        <f t="shared" si="1"/>
        <v>5.2606333333333328</v>
      </c>
      <c r="K61" s="2">
        <f t="shared" si="2"/>
        <v>1.6281999999999996</v>
      </c>
      <c r="L61" s="4">
        <f t="shared" si="3"/>
        <v>0.2363558063126926</v>
      </c>
      <c r="O61">
        <f t="shared" si="4"/>
        <v>0.30949378718658721</v>
      </c>
      <c r="Q61">
        <f t="shared" si="5"/>
        <v>30.949378718658721</v>
      </c>
    </row>
    <row r="62" spans="1:18" x14ac:dyDescent="0.2">
      <c r="A62">
        <v>61</v>
      </c>
      <c r="B62">
        <v>2021</v>
      </c>
      <c r="C62" t="s">
        <v>76</v>
      </c>
      <c r="D62" s="2">
        <v>5.5448000000000004</v>
      </c>
      <c r="E62" s="2">
        <v>4.5030999999999999</v>
      </c>
      <c r="I62" s="2">
        <f t="shared" si="0"/>
        <v>4.724566666666667</v>
      </c>
      <c r="J62" s="2">
        <f t="shared" si="1"/>
        <v>3.6829333333333332</v>
      </c>
      <c r="K62" s="2">
        <f t="shared" si="2"/>
        <v>1.0417000000000005</v>
      </c>
      <c r="L62" s="4">
        <f t="shared" si="3"/>
        <v>0.22048582938823322</v>
      </c>
      <c r="M62" s="4">
        <f>AVERAGE(L62:L64)</f>
        <v>0.22693642264474567</v>
      </c>
      <c r="N62">
        <v>21</v>
      </c>
      <c r="O62">
        <f t="shared" si="4"/>
        <v>0.2828270943450874</v>
      </c>
      <c r="P62" s="4">
        <f>AVERAGE(O62:O64)</f>
        <v>0.29361501071736423</v>
      </c>
      <c r="Q62">
        <f t="shared" si="5"/>
        <v>28.282709434508739</v>
      </c>
      <c r="R62" s="4">
        <f>AVERAGE(Q62:Q64)</f>
        <v>29.361501071736416</v>
      </c>
    </row>
    <row r="63" spans="1:18" x14ac:dyDescent="0.2">
      <c r="A63">
        <v>62</v>
      </c>
      <c r="B63">
        <v>2021</v>
      </c>
      <c r="C63" t="s">
        <v>77</v>
      </c>
      <c r="D63" s="2">
        <v>7.5880000000000001</v>
      </c>
      <c r="E63" s="2">
        <v>6.0632000000000001</v>
      </c>
      <c r="I63" s="2">
        <f t="shared" si="0"/>
        <v>6.7677666666666667</v>
      </c>
      <c r="J63" s="2">
        <f t="shared" si="1"/>
        <v>5.243033333333333</v>
      </c>
      <c r="K63" s="2">
        <f t="shared" si="2"/>
        <v>1.5247999999999999</v>
      </c>
      <c r="L63" s="4">
        <f t="shared" si="3"/>
        <v>0.22530327582215698</v>
      </c>
      <c r="O63">
        <f t="shared" si="4"/>
        <v>0.29081129880285594</v>
      </c>
      <c r="Q63">
        <f t="shared" si="5"/>
        <v>29.081129880285594</v>
      </c>
    </row>
    <row r="64" spans="1:18" x14ac:dyDescent="0.2">
      <c r="A64">
        <v>63</v>
      </c>
      <c r="B64">
        <v>2021</v>
      </c>
      <c r="C64" t="s">
        <v>78</v>
      </c>
      <c r="D64" s="2">
        <v>7.3834999999999997</v>
      </c>
      <c r="E64" s="2">
        <v>5.8410000000000002</v>
      </c>
      <c r="I64" s="2">
        <f t="shared" si="0"/>
        <v>6.5632666666666664</v>
      </c>
      <c r="J64" s="2">
        <f t="shared" si="1"/>
        <v>5.0208333333333339</v>
      </c>
      <c r="K64" s="2">
        <f t="shared" si="2"/>
        <v>1.5424999999999995</v>
      </c>
      <c r="L64" s="4">
        <f t="shared" si="3"/>
        <v>0.23502016272384679</v>
      </c>
      <c r="O64">
        <f t="shared" si="4"/>
        <v>0.30720663900414918</v>
      </c>
      <c r="Q64">
        <f t="shared" si="5"/>
        <v>30.72066390041492</v>
      </c>
    </row>
    <row r="65" spans="1:18" x14ac:dyDescent="0.2">
      <c r="A65">
        <v>64</v>
      </c>
      <c r="B65">
        <v>2021</v>
      </c>
      <c r="C65" t="s">
        <v>79</v>
      </c>
      <c r="D65" s="2">
        <v>8.3765999999999998</v>
      </c>
      <c r="E65" s="2">
        <v>6.6650999999999998</v>
      </c>
      <c r="I65" s="2">
        <f t="shared" si="0"/>
        <v>7.5563666666666665</v>
      </c>
      <c r="J65" s="2">
        <f t="shared" si="1"/>
        <v>5.8449333333333335</v>
      </c>
      <c r="K65" s="2">
        <f t="shared" si="2"/>
        <v>1.7115</v>
      </c>
      <c r="L65" s="4">
        <f t="shared" si="3"/>
        <v>0.2264977436245815</v>
      </c>
      <c r="M65" s="4">
        <f>AVERAGE(L65:L67)</f>
        <v>0.22712832219796072</v>
      </c>
      <c r="N65">
        <v>22</v>
      </c>
      <c r="O65">
        <f t="shared" si="4"/>
        <v>0.29280630517599282</v>
      </c>
      <c r="P65" s="4">
        <f>AVERAGE(O65:O67)</f>
        <v>0.29386095686681546</v>
      </c>
      <c r="Q65">
        <f t="shared" si="5"/>
        <v>29.280630517599281</v>
      </c>
      <c r="R65" s="4">
        <f>AVERAGE(Q65:Q67)</f>
        <v>29.386095686681546</v>
      </c>
    </row>
    <row r="66" spans="1:18" x14ac:dyDescent="0.2">
      <c r="A66">
        <v>65</v>
      </c>
      <c r="B66">
        <v>2021</v>
      </c>
      <c r="C66" t="s">
        <v>80</v>
      </c>
      <c r="D66" s="2">
        <v>7.2877000000000001</v>
      </c>
      <c r="E66" s="2">
        <v>5.8163999999999998</v>
      </c>
      <c r="I66" s="2">
        <f t="shared" si="0"/>
        <v>6.4674666666666667</v>
      </c>
      <c r="J66" s="2">
        <f t="shared" si="1"/>
        <v>4.9962333333333326</v>
      </c>
      <c r="K66" s="2">
        <f t="shared" si="2"/>
        <v>1.4713000000000003</v>
      </c>
      <c r="L66" s="4">
        <f t="shared" si="3"/>
        <v>0.22749247515771248</v>
      </c>
      <c r="O66">
        <f t="shared" si="4"/>
        <v>0.29446849960303445</v>
      </c>
      <c r="Q66">
        <f t="shared" si="5"/>
        <v>29.446849960303446</v>
      </c>
    </row>
    <row r="67" spans="1:18" x14ac:dyDescent="0.2">
      <c r="A67">
        <v>66</v>
      </c>
      <c r="B67">
        <v>2021</v>
      </c>
      <c r="C67" t="s">
        <v>81</v>
      </c>
      <c r="D67" s="2">
        <v>8.8169000000000004</v>
      </c>
      <c r="E67" s="2">
        <v>6.9984999999999999</v>
      </c>
      <c r="I67" s="2">
        <f t="shared" ref="I67:I105" si="6">D67-$D$142</f>
        <v>7.996666666666667</v>
      </c>
      <c r="J67" s="2">
        <f t="shared" ref="J67:J105" si="7">E67-$E$142</f>
        <v>6.1783333333333328</v>
      </c>
      <c r="K67" s="2">
        <f t="shared" ref="K67:K130" si="8">D67-E67</f>
        <v>1.8184000000000005</v>
      </c>
      <c r="L67" s="4">
        <f t="shared" ref="L67:L130" si="9">K67/I67</f>
        <v>0.22739474781158822</v>
      </c>
      <c r="O67">
        <f t="shared" ref="O67:O130" si="10">(I67-J67)/J67</f>
        <v>0.29430806582141911</v>
      </c>
      <c r="Q67">
        <f t="shared" ref="Q67:Q130" si="11">O67*100</f>
        <v>29.430806582141912</v>
      </c>
    </row>
    <row r="68" spans="1:18" x14ac:dyDescent="0.2">
      <c r="A68">
        <v>67</v>
      </c>
      <c r="B68">
        <v>2021</v>
      </c>
      <c r="C68" t="s">
        <v>82</v>
      </c>
      <c r="D68" s="2">
        <v>9.7738999999999994</v>
      </c>
      <c r="E68" s="2">
        <v>8.5061</v>
      </c>
      <c r="I68" s="2">
        <f t="shared" si="6"/>
        <v>8.9536666666666669</v>
      </c>
      <c r="J68" s="2">
        <f t="shared" si="7"/>
        <v>7.6859333333333328</v>
      </c>
      <c r="K68" s="2">
        <f t="shared" si="8"/>
        <v>1.2677999999999994</v>
      </c>
      <c r="L68" s="4">
        <f t="shared" si="9"/>
        <v>0.14159562190536459</v>
      </c>
      <c r="M68" s="4">
        <f>AVERAGE(L68:L70)</f>
        <v>0.14022969874972016</v>
      </c>
      <c r="N68">
        <v>23</v>
      </c>
      <c r="O68">
        <f t="shared" si="10"/>
        <v>0.16494201528333155</v>
      </c>
      <c r="P68" s="4">
        <f>AVERAGE(O68:O70)</f>
        <v>0.16309103362163682</v>
      </c>
      <c r="Q68">
        <f t="shared" si="11"/>
        <v>16.494201528333154</v>
      </c>
      <c r="R68" s="4">
        <f>AVERAGE(Q68:Q70)</f>
        <v>16.309103362163683</v>
      </c>
    </row>
    <row r="69" spans="1:18" x14ac:dyDescent="0.2">
      <c r="A69">
        <v>68</v>
      </c>
      <c r="B69">
        <v>2021</v>
      </c>
      <c r="C69" t="s">
        <v>83</v>
      </c>
      <c r="D69" s="2">
        <v>7.2125000000000004</v>
      </c>
      <c r="E69" s="2">
        <v>6.3147000000000002</v>
      </c>
      <c r="I69" s="2">
        <f t="shared" si="6"/>
        <v>6.392266666666667</v>
      </c>
      <c r="J69" s="2">
        <f t="shared" si="7"/>
        <v>5.494533333333333</v>
      </c>
      <c r="K69" s="2">
        <f t="shared" si="8"/>
        <v>0.89780000000000015</v>
      </c>
      <c r="L69" s="4">
        <f t="shared" si="9"/>
        <v>0.14045096157857412</v>
      </c>
      <c r="O69">
        <f t="shared" si="10"/>
        <v>0.16338663884103</v>
      </c>
      <c r="Q69">
        <f t="shared" si="11"/>
        <v>16.338663884102999</v>
      </c>
    </row>
    <row r="70" spans="1:18" x14ac:dyDescent="0.2">
      <c r="A70">
        <v>69</v>
      </c>
      <c r="B70">
        <v>2021</v>
      </c>
      <c r="C70" t="s">
        <v>84</v>
      </c>
      <c r="D70" s="2">
        <v>7.3745000000000003</v>
      </c>
      <c r="E70" s="2">
        <v>6.4657999999999998</v>
      </c>
      <c r="I70" s="2">
        <f t="shared" si="6"/>
        <v>6.5542666666666669</v>
      </c>
      <c r="J70" s="2">
        <f t="shared" si="7"/>
        <v>5.6456333333333326</v>
      </c>
      <c r="K70" s="2">
        <f t="shared" si="8"/>
        <v>0.90870000000000051</v>
      </c>
      <c r="L70" s="4">
        <f t="shared" si="9"/>
        <v>0.13864251276522171</v>
      </c>
      <c r="O70">
        <f t="shared" si="10"/>
        <v>0.16094444674054895</v>
      </c>
      <c r="Q70">
        <f t="shared" si="11"/>
        <v>16.094444674054895</v>
      </c>
    </row>
    <row r="71" spans="1:18" x14ac:dyDescent="0.2">
      <c r="A71">
        <v>70</v>
      </c>
      <c r="B71">
        <v>2021</v>
      </c>
      <c r="C71" t="s">
        <v>85</v>
      </c>
      <c r="D71" s="2">
        <v>7.9211999999999998</v>
      </c>
      <c r="E71" s="2">
        <v>7.1307999999999998</v>
      </c>
      <c r="I71" s="2">
        <f t="shared" si="6"/>
        <v>7.1009666666666664</v>
      </c>
      <c r="J71" s="2">
        <f t="shared" si="7"/>
        <v>6.3106333333333335</v>
      </c>
      <c r="K71" s="2">
        <f t="shared" si="8"/>
        <v>0.79039999999999999</v>
      </c>
      <c r="L71" s="4">
        <f t="shared" si="9"/>
        <v>0.11130878894422826</v>
      </c>
      <c r="M71" s="4">
        <f>AVERAGE(L71:L73)</f>
        <v>0.11250286514310155</v>
      </c>
      <c r="N71">
        <v>24</v>
      </c>
      <c r="O71">
        <f t="shared" si="10"/>
        <v>0.12523835431203412</v>
      </c>
      <c r="P71" s="4">
        <f>AVERAGE(O71:O73)</f>
        <v>0.1267527825819473</v>
      </c>
      <c r="Q71">
        <f t="shared" si="11"/>
        <v>12.523835431203413</v>
      </c>
      <c r="R71" s="4">
        <f>AVERAGE(Q71:Q73)</f>
        <v>12.67527825819473</v>
      </c>
    </row>
    <row r="72" spans="1:18" x14ac:dyDescent="0.2">
      <c r="A72">
        <v>71</v>
      </c>
      <c r="B72">
        <v>2021</v>
      </c>
      <c r="C72" t="s">
        <v>86</v>
      </c>
      <c r="D72" s="2">
        <v>7.4252000000000002</v>
      </c>
      <c r="E72" s="2">
        <v>6.6759000000000004</v>
      </c>
      <c r="I72" s="2">
        <f t="shared" si="6"/>
        <v>6.6049666666666669</v>
      </c>
      <c r="J72" s="2">
        <f t="shared" si="7"/>
        <v>5.8557333333333332</v>
      </c>
      <c r="K72" s="2">
        <f t="shared" si="8"/>
        <v>0.74929999999999986</v>
      </c>
      <c r="L72" s="4">
        <f t="shared" si="9"/>
        <v>0.11344493285355967</v>
      </c>
      <c r="O72">
        <f t="shared" si="10"/>
        <v>0.12794867708001281</v>
      </c>
      <c r="Q72">
        <f t="shared" si="11"/>
        <v>12.794867708001281</v>
      </c>
    </row>
    <row r="73" spans="1:18" x14ac:dyDescent="0.2">
      <c r="A73">
        <v>72</v>
      </c>
      <c r="B73">
        <v>2021</v>
      </c>
      <c r="C73" t="s">
        <v>87</v>
      </c>
      <c r="D73" s="2">
        <v>7.3724999999999996</v>
      </c>
      <c r="E73" s="2">
        <v>6.6337000000000002</v>
      </c>
      <c r="I73" s="2">
        <f t="shared" si="6"/>
        <v>6.5522666666666662</v>
      </c>
      <c r="J73" s="2">
        <f t="shared" si="7"/>
        <v>5.8135333333333339</v>
      </c>
      <c r="K73" s="2">
        <f t="shared" si="8"/>
        <v>0.73879999999999946</v>
      </c>
      <c r="L73" s="4">
        <f t="shared" si="9"/>
        <v>0.11275487363151675</v>
      </c>
      <c r="O73">
        <f t="shared" si="10"/>
        <v>0.12707131635379498</v>
      </c>
      <c r="Q73">
        <f t="shared" si="11"/>
        <v>12.707131635379499</v>
      </c>
    </row>
    <row r="74" spans="1:18" x14ac:dyDescent="0.2">
      <c r="A74">
        <v>73</v>
      </c>
      <c r="B74">
        <v>2021</v>
      </c>
      <c r="C74" t="s">
        <v>88</v>
      </c>
      <c r="D74" s="2">
        <v>6.6018999999999997</v>
      </c>
      <c r="E74" s="2">
        <v>5.9408000000000003</v>
      </c>
      <c r="I74" s="2">
        <f t="shared" si="6"/>
        <v>5.7816666666666663</v>
      </c>
      <c r="J74" s="2">
        <f t="shared" si="7"/>
        <v>5.120633333333334</v>
      </c>
      <c r="K74" s="2">
        <f t="shared" si="8"/>
        <v>0.66109999999999935</v>
      </c>
      <c r="L74" s="4">
        <f t="shared" si="9"/>
        <v>0.11434419140962804</v>
      </c>
      <c r="M74" s="4">
        <f>AVERAGE(L74:L76)</f>
        <v>0.11193601178969632</v>
      </c>
      <c r="N74">
        <v>25</v>
      </c>
      <c r="O74">
        <f t="shared" si="10"/>
        <v>0.12909210449228262</v>
      </c>
      <c r="P74" s="4">
        <f>AVERAGE(O74:O76)</f>
        <v>0.12603864145285559</v>
      </c>
      <c r="Q74">
        <f t="shared" si="11"/>
        <v>12.909210449228262</v>
      </c>
      <c r="R74" s="4">
        <f>AVERAGE(Q74:Q76)</f>
        <v>12.603864145285558</v>
      </c>
    </row>
    <row r="75" spans="1:18" x14ac:dyDescent="0.2">
      <c r="A75">
        <v>74</v>
      </c>
      <c r="B75">
        <v>2021</v>
      </c>
      <c r="C75" t="s">
        <v>89</v>
      </c>
      <c r="D75" s="2">
        <v>6.3648999999999996</v>
      </c>
      <c r="E75" s="2">
        <v>5.7388000000000003</v>
      </c>
      <c r="I75" s="2">
        <f t="shared" si="6"/>
        <v>5.5446666666666662</v>
      </c>
      <c r="J75" s="2">
        <f t="shared" si="7"/>
        <v>4.9186333333333341</v>
      </c>
      <c r="K75" s="2">
        <f t="shared" si="8"/>
        <v>0.62609999999999921</v>
      </c>
      <c r="L75" s="4">
        <f t="shared" si="9"/>
        <v>0.11291932187086677</v>
      </c>
      <c r="O75">
        <f t="shared" si="10"/>
        <v>0.12727790239836242</v>
      </c>
      <c r="Q75">
        <f t="shared" si="11"/>
        <v>12.727790239836242</v>
      </c>
    </row>
    <row r="76" spans="1:18" x14ac:dyDescent="0.2">
      <c r="A76">
        <v>75</v>
      </c>
      <c r="B76">
        <v>2021</v>
      </c>
      <c r="C76" t="s">
        <v>90</v>
      </c>
      <c r="D76" s="2">
        <v>6.3773999999999997</v>
      </c>
      <c r="E76" s="2">
        <v>5.7742000000000004</v>
      </c>
      <c r="I76" s="2">
        <f t="shared" si="6"/>
        <v>5.5571666666666664</v>
      </c>
      <c r="J76" s="2">
        <f t="shared" si="7"/>
        <v>4.9540333333333333</v>
      </c>
      <c r="K76" s="2">
        <f t="shared" si="8"/>
        <v>0.60319999999999929</v>
      </c>
      <c r="L76" s="4">
        <f t="shared" si="9"/>
        <v>0.10854452208859419</v>
      </c>
      <c r="O76">
        <f t="shared" si="10"/>
        <v>0.12174591746792171</v>
      </c>
      <c r="Q76">
        <f t="shared" si="11"/>
        <v>12.174591746792171</v>
      </c>
    </row>
    <row r="77" spans="1:18" x14ac:dyDescent="0.2">
      <c r="A77">
        <v>76</v>
      </c>
      <c r="B77">
        <v>2021</v>
      </c>
      <c r="C77" t="s">
        <v>91</v>
      </c>
      <c r="D77" s="2">
        <v>8.3818999999999999</v>
      </c>
      <c r="E77" s="2">
        <v>7.3051000000000004</v>
      </c>
      <c r="I77" s="2">
        <f t="shared" si="6"/>
        <v>7.5616666666666665</v>
      </c>
      <c r="J77" s="2">
        <f t="shared" si="7"/>
        <v>6.4849333333333341</v>
      </c>
      <c r="K77" s="2">
        <f t="shared" si="8"/>
        <v>1.0767999999999995</v>
      </c>
      <c r="L77" s="4">
        <f t="shared" si="9"/>
        <v>0.14240246859158029</v>
      </c>
      <c r="M77" s="4">
        <f>AVERAGE(L77:L79)</f>
        <v>0.14206468687186916</v>
      </c>
      <c r="N77">
        <v>26</v>
      </c>
      <c r="O77">
        <f t="shared" si="10"/>
        <v>0.16603614532146294</v>
      </c>
      <c r="P77" s="4">
        <f>AVERAGE(O77:O79)</f>
        <v>0.16557633249615306</v>
      </c>
      <c r="Q77">
        <f t="shared" si="11"/>
        <v>16.603614532146295</v>
      </c>
      <c r="R77" s="4">
        <f>AVERAGE(Q77:Q79)</f>
        <v>16.557633249615307</v>
      </c>
    </row>
    <row r="78" spans="1:18" x14ac:dyDescent="0.2">
      <c r="A78">
        <v>77</v>
      </c>
      <c r="B78">
        <v>2021</v>
      </c>
      <c r="C78" t="s">
        <v>92</v>
      </c>
      <c r="D78" s="2">
        <v>8.9736999999999991</v>
      </c>
      <c r="E78" s="2">
        <v>7.8174999999999999</v>
      </c>
      <c r="I78" s="2">
        <f t="shared" si="6"/>
        <v>8.1534666666666666</v>
      </c>
      <c r="J78" s="2">
        <f t="shared" si="7"/>
        <v>6.9973333333333336</v>
      </c>
      <c r="K78" s="2">
        <f t="shared" si="8"/>
        <v>1.1561999999999992</v>
      </c>
      <c r="L78" s="4">
        <f t="shared" si="9"/>
        <v>0.14180471292374605</v>
      </c>
      <c r="O78">
        <f t="shared" si="10"/>
        <v>0.16522484756097555</v>
      </c>
      <c r="Q78">
        <f t="shared" si="11"/>
        <v>16.522484756097555</v>
      </c>
    </row>
    <row r="79" spans="1:18" x14ac:dyDescent="0.2">
      <c r="A79">
        <v>78</v>
      </c>
      <c r="B79">
        <v>2021</v>
      </c>
      <c r="C79" t="s">
        <v>93</v>
      </c>
      <c r="D79" s="2">
        <v>6.7243000000000004</v>
      </c>
      <c r="E79" s="2">
        <v>5.8860000000000001</v>
      </c>
      <c r="I79" s="2">
        <f t="shared" si="6"/>
        <v>5.904066666666667</v>
      </c>
      <c r="J79" s="2">
        <f t="shared" si="7"/>
        <v>5.0658333333333339</v>
      </c>
      <c r="K79" s="2">
        <f t="shared" si="8"/>
        <v>0.83830000000000027</v>
      </c>
      <c r="L79" s="4">
        <f t="shared" si="9"/>
        <v>0.14198687910028121</v>
      </c>
      <c r="O79">
        <f t="shared" si="10"/>
        <v>0.16546800460602068</v>
      </c>
      <c r="Q79">
        <f t="shared" si="11"/>
        <v>16.546800460602068</v>
      </c>
    </row>
    <row r="80" spans="1:18" x14ac:dyDescent="0.2">
      <c r="A80">
        <v>79</v>
      </c>
      <c r="B80">
        <v>2021</v>
      </c>
      <c r="C80" t="s">
        <v>94</v>
      </c>
      <c r="D80" s="2">
        <v>6.6067</v>
      </c>
      <c r="E80" s="2">
        <v>5.9977</v>
      </c>
      <c r="I80" s="2">
        <f t="shared" si="6"/>
        <v>5.7864666666666666</v>
      </c>
      <c r="J80" s="2">
        <f t="shared" si="7"/>
        <v>5.1775333333333329</v>
      </c>
      <c r="K80" s="2">
        <f t="shared" si="8"/>
        <v>0.60899999999999999</v>
      </c>
      <c r="L80" s="4">
        <f t="shared" si="9"/>
        <v>0.10524557300367524</v>
      </c>
      <c r="M80" s="4">
        <f>AVERAGE(L80:L82)</f>
        <v>0.10595976998650003</v>
      </c>
      <c r="N80">
        <v>27</v>
      </c>
      <c r="O80">
        <f t="shared" si="10"/>
        <v>0.11761070265119822</v>
      </c>
      <c r="P80" s="4">
        <f>AVERAGE(O80:O82)</f>
        <v>0.11850625117219364</v>
      </c>
      <c r="Q80">
        <f t="shared" si="11"/>
        <v>11.761070265119821</v>
      </c>
      <c r="R80" s="4">
        <f>AVERAGE(Q80:Q82)</f>
        <v>11.850625117219364</v>
      </c>
    </row>
    <row r="81" spans="1:18" x14ac:dyDescent="0.2">
      <c r="A81">
        <v>80</v>
      </c>
      <c r="B81">
        <v>2021</v>
      </c>
      <c r="C81" t="s">
        <v>95</v>
      </c>
      <c r="D81" s="2">
        <v>8.4809000000000001</v>
      </c>
      <c r="E81" s="2">
        <v>7.6653000000000002</v>
      </c>
      <c r="I81" s="2">
        <f t="shared" si="6"/>
        <v>7.6606666666666667</v>
      </c>
      <c r="J81" s="2">
        <f t="shared" si="7"/>
        <v>6.8451333333333331</v>
      </c>
      <c r="K81" s="2">
        <f t="shared" si="8"/>
        <v>0.81559999999999988</v>
      </c>
      <c r="L81" s="4">
        <f t="shared" si="9"/>
        <v>0.10646592985814984</v>
      </c>
      <c r="O81">
        <f t="shared" si="10"/>
        <v>0.1191406059779698</v>
      </c>
      <c r="Q81">
        <f t="shared" si="11"/>
        <v>11.914060597796979</v>
      </c>
    </row>
    <row r="82" spans="1:18" x14ac:dyDescent="0.2">
      <c r="A82">
        <v>81</v>
      </c>
      <c r="B82">
        <v>2021</v>
      </c>
      <c r="C82" t="s">
        <v>96</v>
      </c>
      <c r="D82" s="2">
        <v>8.5561000000000007</v>
      </c>
      <c r="E82" s="2">
        <v>7.7347999999999999</v>
      </c>
      <c r="I82" s="2">
        <f t="shared" si="6"/>
        <v>7.7358666666666673</v>
      </c>
      <c r="J82" s="2">
        <f t="shared" si="7"/>
        <v>6.9146333333333327</v>
      </c>
      <c r="K82" s="2">
        <f t="shared" si="8"/>
        <v>0.82130000000000081</v>
      </c>
      <c r="L82" s="4">
        <f t="shared" si="9"/>
        <v>0.106167807097675</v>
      </c>
      <c r="O82">
        <f t="shared" si="10"/>
        <v>0.11876744488741288</v>
      </c>
      <c r="Q82">
        <f t="shared" si="11"/>
        <v>11.876744488741288</v>
      </c>
    </row>
    <row r="83" spans="1:18" x14ac:dyDescent="0.2">
      <c r="A83">
        <v>82</v>
      </c>
      <c r="B83">
        <v>2021</v>
      </c>
      <c r="C83" t="s">
        <v>97</v>
      </c>
      <c r="D83" s="2">
        <v>7.0796999999999999</v>
      </c>
      <c r="E83" s="2">
        <v>6.3056000000000001</v>
      </c>
      <c r="I83" s="2">
        <f t="shared" si="6"/>
        <v>6.2594666666666665</v>
      </c>
      <c r="J83" s="2">
        <f t="shared" si="7"/>
        <v>5.4854333333333329</v>
      </c>
      <c r="K83" s="2">
        <f t="shared" si="8"/>
        <v>0.77409999999999979</v>
      </c>
      <c r="L83" s="4">
        <f t="shared" si="9"/>
        <v>0.12366868316789499</v>
      </c>
      <c r="M83" s="4">
        <f>AVERAGE(L83:L85)</f>
        <v>0.12356206152718276</v>
      </c>
      <c r="N83">
        <v>28</v>
      </c>
      <c r="O83">
        <f t="shared" si="10"/>
        <v>0.14110705322581632</v>
      </c>
      <c r="P83" s="4">
        <f>AVERAGE(O83:O85)</f>
        <v>0.14096888102429472</v>
      </c>
      <c r="Q83">
        <f t="shared" si="11"/>
        <v>14.110705322581632</v>
      </c>
      <c r="R83" s="4">
        <f>AVERAGE(Q83:Q85)</f>
        <v>14.096888102429475</v>
      </c>
    </row>
    <row r="84" spans="1:18" x14ac:dyDescent="0.2">
      <c r="A84">
        <v>83</v>
      </c>
      <c r="B84">
        <v>2021</v>
      </c>
      <c r="C84" t="s">
        <v>98</v>
      </c>
      <c r="D84" s="2">
        <v>7.4260000000000002</v>
      </c>
      <c r="E84" s="2">
        <v>6.6086</v>
      </c>
      <c r="I84" s="2">
        <f t="shared" si="6"/>
        <v>6.6057666666666668</v>
      </c>
      <c r="J84" s="2">
        <f t="shared" si="7"/>
        <v>5.7884333333333338</v>
      </c>
      <c r="K84" s="2">
        <f t="shared" si="8"/>
        <v>0.81740000000000013</v>
      </c>
      <c r="L84" s="4">
        <f t="shared" si="9"/>
        <v>0.1237403682640925</v>
      </c>
      <c r="O84">
        <f t="shared" si="10"/>
        <v>0.14120113099111439</v>
      </c>
      <c r="Q84">
        <f t="shared" si="11"/>
        <v>14.120113099111439</v>
      </c>
    </row>
    <row r="85" spans="1:18" x14ac:dyDescent="0.2">
      <c r="A85">
        <v>84</v>
      </c>
      <c r="B85">
        <v>2021</v>
      </c>
      <c r="C85" t="s">
        <v>99</v>
      </c>
      <c r="D85" s="2">
        <v>7.5797999999999996</v>
      </c>
      <c r="E85" s="2">
        <v>6.7465000000000002</v>
      </c>
      <c r="I85" s="2">
        <f t="shared" si="6"/>
        <v>6.7595666666666663</v>
      </c>
      <c r="J85" s="2">
        <f t="shared" si="7"/>
        <v>5.9263333333333339</v>
      </c>
      <c r="K85" s="2">
        <f t="shared" si="8"/>
        <v>0.83329999999999949</v>
      </c>
      <c r="L85" s="4">
        <f t="shared" si="9"/>
        <v>0.12327713314956081</v>
      </c>
      <c r="O85">
        <f t="shared" si="10"/>
        <v>0.14059845885595348</v>
      </c>
      <c r="Q85">
        <f t="shared" si="11"/>
        <v>14.059845885595349</v>
      </c>
    </row>
    <row r="86" spans="1:18" x14ac:dyDescent="0.2">
      <c r="A86">
        <v>85</v>
      </c>
      <c r="B86">
        <v>2021</v>
      </c>
      <c r="C86" t="s">
        <v>100</v>
      </c>
      <c r="D86" s="2">
        <v>6.4969000000000001</v>
      </c>
      <c r="E86" s="2">
        <v>5.7968000000000002</v>
      </c>
      <c r="I86" s="2">
        <f t="shared" si="6"/>
        <v>5.6766666666666667</v>
      </c>
      <c r="J86" s="2">
        <f t="shared" si="7"/>
        <v>4.9766333333333339</v>
      </c>
      <c r="K86" s="2">
        <f t="shared" si="8"/>
        <v>0.70009999999999994</v>
      </c>
      <c r="L86" s="4">
        <f t="shared" si="9"/>
        <v>0.12332941867293011</v>
      </c>
      <c r="M86" s="4">
        <f>AVERAGE(L86:L88)</f>
        <v>0.12303675295760945</v>
      </c>
      <c r="N86">
        <v>29</v>
      </c>
      <c r="O86">
        <f t="shared" si="10"/>
        <v>0.1406640365976998</v>
      </c>
      <c r="P86" s="4">
        <f>AVERAGE(O86:O88)</f>
        <v>0.14028855458674644</v>
      </c>
      <c r="Q86">
        <f t="shared" si="11"/>
        <v>14.06640365976998</v>
      </c>
      <c r="R86" s="4">
        <f>AVERAGE(Q86:Q88)</f>
        <v>14.028855458674641</v>
      </c>
    </row>
    <row r="87" spans="1:18" x14ac:dyDescent="0.2">
      <c r="A87">
        <v>86</v>
      </c>
      <c r="B87">
        <v>2021</v>
      </c>
      <c r="C87" t="s">
        <v>101</v>
      </c>
      <c r="D87" s="2">
        <v>8.3244000000000007</v>
      </c>
      <c r="E87" s="2">
        <v>7.4158999999999997</v>
      </c>
      <c r="I87" s="2">
        <f t="shared" si="6"/>
        <v>7.5041666666666673</v>
      </c>
      <c r="J87" s="2">
        <f t="shared" si="7"/>
        <v>6.5957333333333334</v>
      </c>
      <c r="K87" s="2">
        <f t="shared" si="8"/>
        <v>0.90850000000000097</v>
      </c>
      <c r="L87" s="4">
        <f t="shared" si="9"/>
        <v>0.1210660744031095</v>
      </c>
      <c r="O87">
        <f t="shared" si="10"/>
        <v>0.13773045200937989</v>
      </c>
      <c r="Q87">
        <f t="shared" si="11"/>
        <v>13.77304520093799</v>
      </c>
    </row>
    <row r="88" spans="1:18" x14ac:dyDescent="0.2">
      <c r="A88">
        <v>87</v>
      </c>
      <c r="B88">
        <v>2021</v>
      </c>
      <c r="C88" t="s">
        <v>102</v>
      </c>
      <c r="D88" s="2">
        <v>7.2477</v>
      </c>
      <c r="E88" s="2">
        <v>6.4461000000000004</v>
      </c>
      <c r="I88" s="2">
        <f t="shared" si="6"/>
        <v>6.4274666666666667</v>
      </c>
      <c r="J88" s="2">
        <f t="shared" si="7"/>
        <v>5.6259333333333341</v>
      </c>
      <c r="K88" s="2">
        <f t="shared" si="8"/>
        <v>0.80159999999999965</v>
      </c>
      <c r="L88" s="4">
        <f t="shared" si="9"/>
        <v>0.12471476579678872</v>
      </c>
      <c r="O88">
        <f t="shared" si="10"/>
        <v>0.1424711751531596</v>
      </c>
      <c r="Q88">
        <f t="shared" si="11"/>
        <v>14.24711751531596</v>
      </c>
    </row>
    <row r="89" spans="1:18" x14ac:dyDescent="0.2">
      <c r="A89">
        <v>88</v>
      </c>
      <c r="B89">
        <v>2021</v>
      </c>
      <c r="C89" t="s">
        <v>103</v>
      </c>
      <c r="D89" s="2">
        <v>5.8212999999999999</v>
      </c>
      <c r="E89" s="2">
        <v>5.3011999999999997</v>
      </c>
      <c r="I89" s="2">
        <f t="shared" si="6"/>
        <v>5.0010666666666665</v>
      </c>
      <c r="J89" s="2">
        <f t="shared" si="7"/>
        <v>4.4810333333333325</v>
      </c>
      <c r="K89" s="2">
        <f t="shared" si="8"/>
        <v>0.52010000000000023</v>
      </c>
      <c r="L89" s="4">
        <f t="shared" si="9"/>
        <v>0.10399781379972277</v>
      </c>
      <c r="M89" s="4">
        <f>AVERAGE(L89:L91)</f>
        <v>0.10524873826002401</v>
      </c>
      <c r="N89">
        <v>30</v>
      </c>
      <c r="O89">
        <f t="shared" si="10"/>
        <v>0.11605210107787656</v>
      </c>
      <c r="P89" s="4">
        <f>AVERAGE(O89:O91)</f>
        <v>0.11765738458263812</v>
      </c>
      <c r="Q89">
        <f t="shared" si="11"/>
        <v>11.605210107787656</v>
      </c>
      <c r="R89" s="4">
        <f>AVERAGE(Q89:Q91)</f>
        <v>11.765738458263812</v>
      </c>
    </row>
    <row r="90" spans="1:18" x14ac:dyDescent="0.2">
      <c r="A90">
        <v>89</v>
      </c>
      <c r="B90">
        <v>2021</v>
      </c>
      <c r="C90" t="s">
        <v>104</v>
      </c>
      <c r="D90" s="2">
        <v>5.7592999999999996</v>
      </c>
      <c r="E90" s="2">
        <v>5.27</v>
      </c>
      <c r="I90" s="2">
        <f t="shared" si="6"/>
        <v>4.9390666666666663</v>
      </c>
      <c r="J90" s="2">
        <f t="shared" si="7"/>
        <v>4.4498333333333324</v>
      </c>
      <c r="K90" s="2">
        <f t="shared" si="8"/>
        <v>0.48930000000000007</v>
      </c>
      <c r="L90" s="4">
        <f t="shared" si="9"/>
        <v>9.9067300164673508E-2</v>
      </c>
      <c r="O90">
        <f t="shared" si="10"/>
        <v>0.10994419266639215</v>
      </c>
      <c r="Q90">
        <f t="shared" si="11"/>
        <v>10.994419266639214</v>
      </c>
    </row>
    <row r="91" spans="1:18" x14ac:dyDescent="0.2">
      <c r="A91">
        <v>90</v>
      </c>
      <c r="B91">
        <v>2021</v>
      </c>
      <c r="C91" t="s">
        <v>105</v>
      </c>
      <c r="D91" s="2">
        <v>6.5904999999999996</v>
      </c>
      <c r="E91" s="2">
        <v>5.9402999999999997</v>
      </c>
      <c r="I91" s="2">
        <f t="shared" si="6"/>
        <v>5.7702666666666662</v>
      </c>
      <c r="J91" s="2">
        <f t="shared" si="7"/>
        <v>5.1201333333333334</v>
      </c>
      <c r="K91" s="2">
        <f t="shared" si="8"/>
        <v>0.65019999999999989</v>
      </c>
      <c r="L91" s="4">
        <f t="shared" si="9"/>
        <v>0.11268110081567576</v>
      </c>
      <c r="O91">
        <f t="shared" si="10"/>
        <v>0.12697586000364564</v>
      </c>
      <c r="Q91">
        <f t="shared" si="11"/>
        <v>12.697586000364563</v>
      </c>
    </row>
    <row r="92" spans="1:18" x14ac:dyDescent="0.2">
      <c r="A92">
        <v>91</v>
      </c>
      <c r="B92">
        <v>2021</v>
      </c>
      <c r="C92" t="s">
        <v>106</v>
      </c>
      <c r="D92" s="2">
        <v>10.226000000000001</v>
      </c>
      <c r="E92" s="2">
        <v>9.5765999999999991</v>
      </c>
      <c r="I92" s="2">
        <f t="shared" si="6"/>
        <v>9.4057666666666684</v>
      </c>
      <c r="J92" s="2">
        <f t="shared" si="7"/>
        <v>8.756433333333332</v>
      </c>
      <c r="K92" s="2">
        <f t="shared" si="8"/>
        <v>0.64940000000000175</v>
      </c>
      <c r="L92" s="4">
        <f t="shared" si="9"/>
        <v>6.904275036945437E-2</v>
      </c>
      <c r="M92" s="4">
        <f>AVERAGE(L92:L94)</f>
        <v>7.1497220887598842E-2</v>
      </c>
      <c r="N92">
        <v>31</v>
      </c>
      <c r="O92">
        <f t="shared" si="10"/>
        <v>7.4155002226934469E-2</v>
      </c>
      <c r="P92" s="4">
        <f>AVERAGE(O92:O94)</f>
        <v>7.7039126030142555E-2</v>
      </c>
      <c r="Q92">
        <f t="shared" si="11"/>
        <v>7.4155002226934466</v>
      </c>
      <c r="R92" s="4">
        <f>AVERAGE(Q92:Q94)</f>
        <v>7.7039126030142553</v>
      </c>
    </row>
    <row r="93" spans="1:18" x14ac:dyDescent="0.2">
      <c r="A93">
        <v>92</v>
      </c>
      <c r="B93">
        <v>2021</v>
      </c>
      <c r="C93" t="s">
        <v>107</v>
      </c>
      <c r="D93" s="2">
        <v>7.4038000000000004</v>
      </c>
      <c r="E93" s="2">
        <v>6.9718999999999998</v>
      </c>
      <c r="I93" s="2">
        <f t="shared" si="6"/>
        <v>6.583566666666667</v>
      </c>
      <c r="J93" s="2">
        <f t="shared" si="7"/>
        <v>6.1517333333333326</v>
      </c>
      <c r="K93" s="2">
        <f t="shared" si="8"/>
        <v>0.43190000000000062</v>
      </c>
      <c r="L93" s="4">
        <f t="shared" si="9"/>
        <v>6.5602738130800517E-2</v>
      </c>
      <c r="O93">
        <f t="shared" si="10"/>
        <v>7.019701764272418E-2</v>
      </c>
      <c r="Q93">
        <f t="shared" si="11"/>
        <v>7.0197017642724182</v>
      </c>
    </row>
    <row r="94" spans="1:18" x14ac:dyDescent="0.2">
      <c r="A94">
        <v>93</v>
      </c>
      <c r="B94">
        <v>2021</v>
      </c>
      <c r="C94" t="s">
        <v>108</v>
      </c>
      <c r="D94" s="2">
        <v>9.15</v>
      </c>
      <c r="E94" s="2">
        <v>8.4848999999999997</v>
      </c>
      <c r="I94" s="2">
        <f t="shared" si="6"/>
        <v>8.3297666666666679</v>
      </c>
      <c r="J94" s="2">
        <f t="shared" si="7"/>
        <v>7.6647333333333325</v>
      </c>
      <c r="K94" s="2">
        <f t="shared" si="8"/>
        <v>0.66510000000000069</v>
      </c>
      <c r="L94" s="4">
        <f t="shared" si="9"/>
        <v>7.9846174162541639E-2</v>
      </c>
      <c r="O94">
        <f t="shared" si="10"/>
        <v>8.6765358220768987E-2</v>
      </c>
      <c r="Q94">
        <f t="shared" si="11"/>
        <v>8.6765358220768984</v>
      </c>
    </row>
    <row r="95" spans="1:18" x14ac:dyDescent="0.2">
      <c r="A95">
        <v>94</v>
      </c>
      <c r="B95">
        <v>2021</v>
      </c>
      <c r="C95" t="s">
        <v>109</v>
      </c>
      <c r="D95" s="2">
        <v>5.4383999999999997</v>
      </c>
      <c r="E95" s="2">
        <v>5.1119000000000003</v>
      </c>
      <c r="I95" s="2">
        <f t="shared" si="6"/>
        <v>4.6181666666666663</v>
      </c>
      <c r="J95" s="2">
        <f t="shared" si="7"/>
        <v>4.2917333333333332</v>
      </c>
      <c r="K95" s="2">
        <f t="shared" si="8"/>
        <v>0.32649999999999935</v>
      </c>
      <c r="L95" s="4">
        <f t="shared" si="9"/>
        <v>7.069905084990423E-2</v>
      </c>
      <c r="M95" s="4">
        <f>AVERAGE(L95:L97)</f>
        <v>6.9513410794626571E-2</v>
      </c>
      <c r="N95">
        <v>32</v>
      </c>
      <c r="O95">
        <f t="shared" si="10"/>
        <v>7.6060954392941429E-2</v>
      </c>
      <c r="P95" s="4">
        <f>AVERAGE(O95:O97)</f>
        <v>7.4697946738852147E-2</v>
      </c>
      <c r="Q95">
        <f t="shared" si="11"/>
        <v>7.6060954392941431</v>
      </c>
      <c r="R95" s="4">
        <f>AVERAGE(Q95:Q97)</f>
        <v>7.4697946738852155</v>
      </c>
    </row>
    <row r="96" spans="1:18" x14ac:dyDescent="0.2">
      <c r="A96">
        <v>95</v>
      </c>
      <c r="B96">
        <v>2021</v>
      </c>
      <c r="C96" t="s">
        <v>110</v>
      </c>
      <c r="D96" s="2">
        <v>6.7571000000000003</v>
      </c>
      <c r="E96" s="2">
        <v>6.3327</v>
      </c>
      <c r="I96" s="2">
        <f t="shared" si="6"/>
        <v>5.936866666666667</v>
      </c>
      <c r="J96" s="2">
        <f t="shared" si="7"/>
        <v>5.5125333333333337</v>
      </c>
      <c r="K96" s="2">
        <f t="shared" si="8"/>
        <v>0.42440000000000033</v>
      </c>
      <c r="L96" s="4">
        <f t="shared" si="9"/>
        <v>7.1485519858960442E-2</v>
      </c>
      <c r="O96">
        <f t="shared" si="10"/>
        <v>7.6976102941176447E-2</v>
      </c>
      <c r="Q96">
        <f t="shared" si="11"/>
        <v>7.697610294117645</v>
      </c>
    </row>
    <row r="97" spans="1:18" x14ac:dyDescent="0.2">
      <c r="A97">
        <v>96</v>
      </c>
      <c r="B97">
        <v>2021</v>
      </c>
      <c r="C97" t="s">
        <v>111</v>
      </c>
      <c r="D97" s="2">
        <v>5.9577</v>
      </c>
      <c r="E97" s="2">
        <v>5.6167999999999996</v>
      </c>
      <c r="I97" s="2">
        <f t="shared" si="6"/>
        <v>5.1374666666666666</v>
      </c>
      <c r="J97" s="2">
        <f t="shared" si="7"/>
        <v>4.7966333333333324</v>
      </c>
      <c r="K97" s="2">
        <f t="shared" si="8"/>
        <v>0.34090000000000042</v>
      </c>
      <c r="L97" s="4">
        <f t="shared" si="9"/>
        <v>6.6355661675015012E-2</v>
      </c>
      <c r="O97">
        <f t="shared" si="10"/>
        <v>7.1056782882438579E-2</v>
      </c>
      <c r="Q97">
        <f t="shared" si="11"/>
        <v>7.1056782882438583</v>
      </c>
    </row>
    <row r="98" spans="1:18" x14ac:dyDescent="0.2">
      <c r="A98">
        <v>97</v>
      </c>
      <c r="B98">
        <v>2021</v>
      </c>
      <c r="C98" t="s">
        <v>112</v>
      </c>
      <c r="D98" s="2">
        <v>6.5690999999999997</v>
      </c>
      <c r="E98" s="2">
        <v>6.0921000000000003</v>
      </c>
      <c r="I98" s="2">
        <f t="shared" si="6"/>
        <v>5.7488666666666663</v>
      </c>
      <c r="J98" s="2">
        <f t="shared" si="7"/>
        <v>5.2719333333333331</v>
      </c>
      <c r="K98" s="2">
        <f t="shared" si="8"/>
        <v>0.47699999999999942</v>
      </c>
      <c r="L98" s="4">
        <f t="shared" si="9"/>
        <v>8.2972875813203673E-2</v>
      </c>
      <c r="M98" s="4">
        <f>AVERAGE(L98:L100)</f>
        <v>8.2991122960895586E-2</v>
      </c>
      <c r="N98">
        <v>33</v>
      </c>
      <c r="O98">
        <f t="shared" si="10"/>
        <v>9.0466495529786653E-2</v>
      </c>
      <c r="P98" s="4">
        <f>AVERAGE(O98:O100)</f>
        <v>9.0487618467969266E-2</v>
      </c>
      <c r="Q98">
        <f t="shared" si="11"/>
        <v>9.0466495529786659</v>
      </c>
      <c r="R98" s="4">
        <f>AVERAGE(Q98:Q100)</f>
        <v>9.0487618467969266</v>
      </c>
    </row>
    <row r="99" spans="1:18" x14ac:dyDescent="0.2">
      <c r="A99">
        <v>98</v>
      </c>
      <c r="B99">
        <v>2021</v>
      </c>
      <c r="C99" t="s">
        <v>113</v>
      </c>
      <c r="D99" s="2">
        <v>6.7058999999999997</v>
      </c>
      <c r="E99" s="2">
        <v>6.2179000000000002</v>
      </c>
      <c r="I99" s="2">
        <f t="shared" si="6"/>
        <v>5.8856666666666664</v>
      </c>
      <c r="J99" s="2">
        <f t="shared" si="7"/>
        <v>5.3977333333333331</v>
      </c>
      <c r="K99" s="2">
        <f t="shared" si="8"/>
        <v>0.48799999999999955</v>
      </c>
      <c r="L99" s="4">
        <f t="shared" si="9"/>
        <v>8.2913292178739231E-2</v>
      </c>
      <c r="O99">
        <f t="shared" si="10"/>
        <v>9.0395968678210606E-2</v>
      </c>
      <c r="Q99">
        <f t="shared" si="11"/>
        <v>9.0395968678210608</v>
      </c>
    </row>
    <row r="100" spans="1:18" x14ac:dyDescent="0.2">
      <c r="A100">
        <v>99</v>
      </c>
      <c r="B100">
        <v>2021</v>
      </c>
      <c r="C100" t="s">
        <v>114</v>
      </c>
      <c r="D100" s="2">
        <v>5.8197999999999999</v>
      </c>
      <c r="E100" s="2">
        <v>5.4043999999999999</v>
      </c>
      <c r="I100" s="2">
        <f t="shared" si="6"/>
        <v>4.9995666666666665</v>
      </c>
      <c r="J100" s="2">
        <f t="shared" si="7"/>
        <v>4.5842333333333336</v>
      </c>
      <c r="K100" s="2">
        <f t="shared" si="8"/>
        <v>0.41539999999999999</v>
      </c>
      <c r="L100" s="4">
        <f t="shared" si="9"/>
        <v>8.3087200890743867E-2</v>
      </c>
      <c r="O100">
        <f t="shared" si="10"/>
        <v>9.0600391195910512E-2</v>
      </c>
      <c r="Q100">
        <f t="shared" si="11"/>
        <v>9.0600391195910515</v>
      </c>
    </row>
    <row r="101" spans="1:18" x14ac:dyDescent="0.2">
      <c r="A101">
        <v>100</v>
      </c>
      <c r="B101">
        <v>2021</v>
      </c>
      <c r="C101" t="s">
        <v>115</v>
      </c>
      <c r="D101" s="2">
        <v>6.8140000000000001</v>
      </c>
      <c r="E101" s="2">
        <v>6.4268999999999998</v>
      </c>
      <c r="I101" s="2">
        <f t="shared" si="6"/>
        <v>5.9937666666666667</v>
      </c>
      <c r="J101" s="2">
        <f t="shared" si="7"/>
        <v>5.6067333333333327</v>
      </c>
      <c r="K101" s="2">
        <f t="shared" si="8"/>
        <v>0.38710000000000022</v>
      </c>
      <c r="L101" s="4">
        <f t="shared" si="9"/>
        <v>6.4583762019431334E-2</v>
      </c>
      <c r="M101" s="4">
        <f>AVERAGE(L101:L103)</f>
        <v>6.3237439075584864E-2</v>
      </c>
      <c r="N101">
        <v>34</v>
      </c>
      <c r="O101">
        <f t="shared" si="10"/>
        <v>6.9030094767006472E-2</v>
      </c>
      <c r="P101" s="4">
        <f>AVERAGE(O101:O103)</f>
        <v>6.749643025623496E-2</v>
      </c>
      <c r="Q101">
        <f t="shared" si="11"/>
        <v>6.9030094767006469</v>
      </c>
      <c r="R101" s="4">
        <f>AVERAGE(Q101:Q103)</f>
        <v>6.7496430256234961</v>
      </c>
    </row>
    <row r="102" spans="1:18" x14ac:dyDescent="0.2">
      <c r="A102">
        <v>101</v>
      </c>
      <c r="B102">
        <v>2021</v>
      </c>
      <c r="C102" t="s">
        <v>116</v>
      </c>
      <c r="D102" s="2">
        <v>7.7362000000000002</v>
      </c>
      <c r="E102" s="2">
        <v>7.2957999999999998</v>
      </c>
      <c r="I102" s="2">
        <f t="shared" si="6"/>
        <v>6.9159666666666668</v>
      </c>
      <c r="J102" s="2">
        <f t="shared" si="7"/>
        <v>6.4756333333333327</v>
      </c>
      <c r="K102" s="2">
        <f t="shared" si="8"/>
        <v>0.44040000000000035</v>
      </c>
      <c r="L102" s="4">
        <f t="shared" si="9"/>
        <v>6.3678733751367664E-2</v>
      </c>
      <c r="O102">
        <f t="shared" si="10"/>
        <v>6.7998496929515387E-2</v>
      </c>
      <c r="Q102">
        <f t="shared" si="11"/>
        <v>6.7998496929515388</v>
      </c>
    </row>
    <row r="103" spans="1:18" x14ac:dyDescent="0.2">
      <c r="A103">
        <v>102</v>
      </c>
      <c r="B103">
        <v>2021</v>
      </c>
      <c r="C103" t="s">
        <v>117</v>
      </c>
      <c r="D103" s="2">
        <v>6.9065000000000003</v>
      </c>
      <c r="E103" s="2">
        <v>6.5324999999999998</v>
      </c>
      <c r="I103" s="2">
        <f t="shared" si="6"/>
        <v>6.0862666666666669</v>
      </c>
      <c r="J103" s="2">
        <f t="shared" si="7"/>
        <v>5.7123333333333335</v>
      </c>
      <c r="K103" s="2">
        <f t="shared" si="8"/>
        <v>0.37400000000000055</v>
      </c>
      <c r="L103" s="4">
        <f t="shared" si="9"/>
        <v>6.1449821455955574E-2</v>
      </c>
      <c r="O103">
        <f t="shared" si="10"/>
        <v>6.5460699072183021E-2</v>
      </c>
      <c r="Q103">
        <f t="shared" si="11"/>
        <v>6.5460699072183024</v>
      </c>
    </row>
    <row r="104" spans="1:18" x14ac:dyDescent="0.2">
      <c r="A104">
        <v>103</v>
      </c>
      <c r="B104">
        <v>2021</v>
      </c>
      <c r="C104" t="s">
        <v>118</v>
      </c>
      <c r="D104" s="2">
        <v>7.9503000000000004</v>
      </c>
      <c r="E104" s="2">
        <v>7.4744999999999999</v>
      </c>
      <c r="I104" s="2">
        <f t="shared" si="6"/>
        <v>7.130066666666667</v>
      </c>
      <c r="J104" s="2">
        <f t="shared" si="7"/>
        <v>6.6543333333333337</v>
      </c>
      <c r="K104" s="2">
        <f t="shared" si="8"/>
        <v>0.47580000000000044</v>
      </c>
      <c r="L104" s="4">
        <f t="shared" si="9"/>
        <v>6.6731493861675026E-2</v>
      </c>
      <c r="M104" s="4">
        <f>AVERAGE(L104:L106)</f>
        <v>6.5368152914832556E-2</v>
      </c>
      <c r="N104">
        <v>35</v>
      </c>
      <c r="O104">
        <f t="shared" si="10"/>
        <v>7.1492260682262179E-2</v>
      </c>
      <c r="P104" s="4">
        <f>AVERAGE(O104:O106)</f>
        <v>6.9931431908330885E-2</v>
      </c>
      <c r="Q104">
        <f t="shared" si="11"/>
        <v>7.1492260682262181</v>
      </c>
      <c r="R104" s="4">
        <f>AVERAGE(Q104:Q106)</f>
        <v>6.9931431908330879</v>
      </c>
    </row>
    <row r="105" spans="1:18" x14ac:dyDescent="0.2">
      <c r="A105">
        <v>104</v>
      </c>
      <c r="B105">
        <v>2021</v>
      </c>
      <c r="C105" t="s">
        <v>119</v>
      </c>
      <c r="D105" s="2">
        <v>6.9135999999999997</v>
      </c>
      <c r="E105" s="2">
        <v>6.5217999999999998</v>
      </c>
      <c r="I105" s="2">
        <f t="shared" si="6"/>
        <v>6.0933666666666664</v>
      </c>
      <c r="J105" s="2">
        <f t="shared" si="7"/>
        <v>5.7016333333333336</v>
      </c>
      <c r="K105" s="2">
        <f t="shared" si="8"/>
        <v>0.39179999999999993</v>
      </c>
      <c r="L105" s="4">
        <f t="shared" si="9"/>
        <v>6.4299429434193464E-2</v>
      </c>
      <c r="O105">
        <f t="shared" si="10"/>
        <v>6.8705458669737818E-2</v>
      </c>
      <c r="Q105">
        <f t="shared" si="11"/>
        <v>6.8705458669737816</v>
      </c>
    </row>
    <row r="106" spans="1:18" x14ac:dyDescent="0.2">
      <c r="A106">
        <v>105</v>
      </c>
      <c r="B106">
        <v>2021</v>
      </c>
      <c r="C106" t="s">
        <v>120</v>
      </c>
      <c r="D106" s="2">
        <v>7.3691000000000004</v>
      </c>
      <c r="E106" s="2">
        <v>6.9728000000000003</v>
      </c>
      <c r="F106" t="s">
        <v>121</v>
      </c>
      <c r="I106" s="2">
        <f>D106-$D$143</f>
        <v>6.0900333333333334</v>
      </c>
      <c r="J106" s="2">
        <f>E106-$E$143</f>
        <v>5.6937666666666669</v>
      </c>
      <c r="K106" s="2">
        <f t="shared" si="8"/>
        <v>0.3963000000000001</v>
      </c>
      <c r="L106" s="4">
        <f t="shared" si="9"/>
        <v>6.5073535448629191E-2</v>
      </c>
      <c r="O106">
        <f t="shared" si="10"/>
        <v>6.9596576372992658E-2</v>
      </c>
      <c r="Q106">
        <f t="shared" si="11"/>
        <v>6.9596576372992658</v>
      </c>
    </row>
    <row r="107" spans="1:18" x14ac:dyDescent="0.2">
      <c r="A107">
        <v>106</v>
      </c>
      <c r="B107">
        <v>2021</v>
      </c>
      <c r="C107" t="s">
        <v>122</v>
      </c>
      <c r="D107" s="2">
        <v>6.8518999999999997</v>
      </c>
      <c r="E107" s="2">
        <v>6.3551000000000002</v>
      </c>
      <c r="I107" s="2">
        <f t="shared" ref="I107:I139" si="12">D107-$D$143</f>
        <v>5.5728333333333326</v>
      </c>
      <c r="J107" s="2">
        <f t="shared" ref="J107:J139" si="13">E107-$E$143</f>
        <v>5.0760666666666667</v>
      </c>
      <c r="K107" s="2">
        <f t="shared" si="8"/>
        <v>0.49679999999999946</v>
      </c>
      <c r="L107" s="4">
        <f t="shared" si="9"/>
        <v>8.9146753596315367E-2</v>
      </c>
      <c r="M107" s="4">
        <f>AVERAGE(L107:L109)</f>
        <v>8.4597841033980117E-2</v>
      </c>
      <c r="N107">
        <v>36</v>
      </c>
      <c r="O107">
        <f t="shared" si="10"/>
        <v>9.7864488252058526E-2</v>
      </c>
      <c r="P107" s="4">
        <f>AVERAGE(O107:O109)</f>
        <v>9.2432077027335413E-2</v>
      </c>
      <c r="Q107">
        <f t="shared" si="11"/>
        <v>9.7864488252058521</v>
      </c>
      <c r="R107" s="4">
        <f>AVERAGE(Q107:Q109)</f>
        <v>9.2432077027335406</v>
      </c>
    </row>
    <row r="108" spans="1:18" x14ac:dyDescent="0.2">
      <c r="A108">
        <v>107</v>
      </c>
      <c r="B108">
        <v>2021</v>
      </c>
      <c r="C108" t="s">
        <v>123</v>
      </c>
      <c r="D108" s="2">
        <v>8.1151999999999997</v>
      </c>
      <c r="E108" s="2">
        <v>7.5744999999999996</v>
      </c>
      <c r="I108" s="2">
        <f t="shared" si="12"/>
        <v>6.8361333333333327</v>
      </c>
      <c r="J108" s="2">
        <f t="shared" si="13"/>
        <v>6.2954666666666661</v>
      </c>
      <c r="K108" s="2">
        <f t="shared" si="8"/>
        <v>0.54070000000000018</v>
      </c>
      <c r="L108" s="4">
        <f t="shared" si="9"/>
        <v>7.9094419847477171E-2</v>
      </c>
      <c r="O108">
        <f t="shared" si="10"/>
        <v>8.5881904439173165E-2</v>
      </c>
      <c r="Q108">
        <f t="shared" si="11"/>
        <v>8.5881904439173162</v>
      </c>
    </row>
    <row r="109" spans="1:18" x14ac:dyDescent="0.2">
      <c r="A109">
        <v>108</v>
      </c>
      <c r="B109">
        <v>2021</v>
      </c>
      <c r="C109" t="s">
        <v>124</v>
      </c>
      <c r="D109" s="2">
        <v>7.4367000000000001</v>
      </c>
      <c r="E109" s="2">
        <v>6.9099000000000004</v>
      </c>
      <c r="I109" s="2">
        <f t="shared" si="12"/>
        <v>6.1576333333333331</v>
      </c>
      <c r="J109" s="2">
        <f t="shared" si="13"/>
        <v>5.6308666666666669</v>
      </c>
      <c r="K109" s="2">
        <f t="shared" si="8"/>
        <v>0.52679999999999971</v>
      </c>
      <c r="L109" s="4">
        <f t="shared" si="9"/>
        <v>8.5552349658147842E-2</v>
      </c>
      <c r="O109">
        <f t="shared" si="10"/>
        <v>9.3549838390774562E-2</v>
      </c>
      <c r="Q109">
        <f t="shared" si="11"/>
        <v>9.3549838390774553</v>
      </c>
    </row>
    <row r="110" spans="1:18" x14ac:dyDescent="0.2">
      <c r="A110">
        <v>109</v>
      </c>
      <c r="B110">
        <v>2021</v>
      </c>
      <c r="C110" t="s">
        <v>125</v>
      </c>
      <c r="D110" s="2">
        <v>5.0534999999999997</v>
      </c>
      <c r="E110" s="2">
        <v>4.0526999999999997</v>
      </c>
      <c r="G110" s="3">
        <v>44656</v>
      </c>
      <c r="I110" s="2">
        <f t="shared" si="12"/>
        <v>3.7744333333333326</v>
      </c>
      <c r="J110" s="2">
        <f t="shared" si="13"/>
        <v>2.7736666666666663</v>
      </c>
      <c r="K110" s="2">
        <f t="shared" si="8"/>
        <v>1.0007999999999999</v>
      </c>
      <c r="L110" s="4">
        <f t="shared" si="9"/>
        <v>0.26515238490546045</v>
      </c>
      <c r="M110" s="4">
        <f>AVERAGE(L110:L112)</f>
        <v>0.26372845421472552</v>
      </c>
      <c r="N110">
        <v>37</v>
      </c>
      <c r="O110">
        <f t="shared" si="10"/>
        <v>0.36080999879822129</v>
      </c>
      <c r="P110" s="4">
        <f>AVERAGE(O110:O112)</f>
        <v>0.35820861463063286</v>
      </c>
      <c r="Q110">
        <f t="shared" si="11"/>
        <v>36.08099987982213</v>
      </c>
      <c r="R110" s="4">
        <f>AVERAGE(Q110:Q112)</f>
        <v>35.820861463063288</v>
      </c>
    </row>
    <row r="111" spans="1:18" x14ac:dyDescent="0.2">
      <c r="A111">
        <v>110</v>
      </c>
      <c r="B111">
        <v>2021</v>
      </c>
      <c r="C111" t="s">
        <v>126</v>
      </c>
      <c r="D111" s="2">
        <v>5.3219000000000003</v>
      </c>
      <c r="E111" s="2">
        <v>4.2424999999999997</v>
      </c>
      <c r="I111" s="2">
        <f t="shared" si="12"/>
        <v>4.0428333333333333</v>
      </c>
      <c r="J111" s="2">
        <f t="shared" si="13"/>
        <v>2.9634666666666662</v>
      </c>
      <c r="K111" s="2">
        <f t="shared" si="8"/>
        <v>1.0794000000000006</v>
      </c>
      <c r="L111" s="4">
        <f t="shared" si="9"/>
        <v>0.26699097167827857</v>
      </c>
      <c r="O111">
        <f t="shared" si="10"/>
        <v>0.36422433186358338</v>
      </c>
      <c r="Q111">
        <f t="shared" si="11"/>
        <v>36.42243318635834</v>
      </c>
    </row>
    <row r="112" spans="1:18" x14ac:dyDescent="0.2">
      <c r="A112">
        <v>111</v>
      </c>
      <c r="B112">
        <v>2021</v>
      </c>
      <c r="C112" t="s">
        <v>127</v>
      </c>
      <c r="D112" s="2">
        <v>6.0751999999999997</v>
      </c>
      <c r="E112" s="2">
        <v>4.8327999999999998</v>
      </c>
      <c r="I112" s="2">
        <f t="shared" si="12"/>
        <v>4.7961333333333327</v>
      </c>
      <c r="J112" s="2">
        <f t="shared" si="13"/>
        <v>3.5537666666666663</v>
      </c>
      <c r="K112" s="2">
        <f t="shared" si="8"/>
        <v>1.2423999999999999</v>
      </c>
      <c r="L112" s="4">
        <f t="shared" si="9"/>
        <v>0.25904200606043759</v>
      </c>
      <c r="O112">
        <f t="shared" si="10"/>
        <v>0.34959151323009385</v>
      </c>
      <c r="Q112">
        <f t="shared" si="11"/>
        <v>34.959151323009387</v>
      </c>
    </row>
    <row r="113" spans="1:18" x14ac:dyDescent="0.2">
      <c r="A113">
        <v>112</v>
      </c>
      <c r="B113">
        <v>2021</v>
      </c>
      <c r="C113" t="s">
        <v>128</v>
      </c>
      <c r="D113" s="2">
        <v>5.4459</v>
      </c>
      <c r="E113" s="2">
        <v>4.6071999999999997</v>
      </c>
      <c r="I113" s="2">
        <f t="shared" si="12"/>
        <v>4.1668333333333329</v>
      </c>
      <c r="J113" s="2">
        <f t="shared" si="13"/>
        <v>3.3281666666666663</v>
      </c>
      <c r="K113" s="2">
        <f t="shared" si="8"/>
        <v>0.83870000000000022</v>
      </c>
      <c r="L113" s="4">
        <f t="shared" si="9"/>
        <v>0.201279948802048</v>
      </c>
      <c r="M113" s="4">
        <f>AVERAGE(L113:L115)</f>
        <v>0.20153099699544011</v>
      </c>
      <c r="N113">
        <v>38</v>
      </c>
      <c r="O113">
        <f t="shared" si="10"/>
        <v>0.25199058540738145</v>
      </c>
      <c r="P113" s="4">
        <f>AVERAGE(O113:O115)</f>
        <v>0.25238523304729371</v>
      </c>
      <c r="Q113">
        <f t="shared" si="11"/>
        <v>25.199058540738147</v>
      </c>
      <c r="R113" s="4">
        <f>AVERAGE(Q113:Q115)</f>
        <v>25.23852330472937</v>
      </c>
    </row>
    <row r="114" spans="1:18" x14ac:dyDescent="0.2">
      <c r="A114">
        <v>113</v>
      </c>
      <c r="B114">
        <v>2021</v>
      </c>
      <c r="C114" t="s">
        <v>129</v>
      </c>
      <c r="D114" s="2">
        <v>6.1021000000000001</v>
      </c>
      <c r="E114" s="2">
        <v>5.1296999999999997</v>
      </c>
      <c r="I114" s="2">
        <f t="shared" si="12"/>
        <v>4.8230333333333331</v>
      </c>
      <c r="J114" s="2">
        <f t="shared" si="13"/>
        <v>3.8506666666666662</v>
      </c>
      <c r="K114" s="2">
        <f t="shared" si="8"/>
        <v>0.97240000000000038</v>
      </c>
      <c r="L114" s="4">
        <f t="shared" si="9"/>
        <v>0.20161585724060246</v>
      </c>
      <c r="O114">
        <f t="shared" si="10"/>
        <v>0.25251904432132971</v>
      </c>
      <c r="Q114">
        <f t="shared" si="11"/>
        <v>25.251904432132971</v>
      </c>
    </row>
    <row r="115" spans="1:18" x14ac:dyDescent="0.2">
      <c r="A115">
        <v>114</v>
      </c>
      <c r="B115">
        <v>2021</v>
      </c>
      <c r="C115" t="s">
        <v>130</v>
      </c>
      <c r="D115" s="2">
        <v>5.8592000000000004</v>
      </c>
      <c r="E115" s="2">
        <v>4.9353999999999996</v>
      </c>
      <c r="I115" s="2">
        <f t="shared" si="12"/>
        <v>4.5801333333333334</v>
      </c>
      <c r="J115" s="2">
        <f t="shared" si="13"/>
        <v>3.6563666666666661</v>
      </c>
      <c r="K115" s="2">
        <f t="shared" si="8"/>
        <v>0.92380000000000084</v>
      </c>
      <c r="L115" s="4">
        <f t="shared" si="9"/>
        <v>0.20169718494366995</v>
      </c>
      <c r="O115">
        <f t="shared" si="10"/>
        <v>0.25264606941316992</v>
      </c>
      <c r="Q115">
        <f t="shared" si="11"/>
        <v>25.264606941316991</v>
      </c>
    </row>
    <row r="116" spans="1:18" x14ac:dyDescent="0.2">
      <c r="A116">
        <v>115</v>
      </c>
      <c r="B116">
        <v>2021</v>
      </c>
      <c r="C116" t="s">
        <v>131</v>
      </c>
      <c r="D116" s="2">
        <v>7.7497999999999996</v>
      </c>
      <c r="E116" s="2">
        <v>7.4196</v>
      </c>
      <c r="I116" s="2">
        <f t="shared" si="12"/>
        <v>6.4707333333333326</v>
      </c>
      <c r="J116" s="2">
        <f t="shared" si="13"/>
        <v>6.1405666666666665</v>
      </c>
      <c r="K116" s="2">
        <f t="shared" si="8"/>
        <v>0.3301999999999996</v>
      </c>
      <c r="L116" s="4">
        <f t="shared" si="9"/>
        <v>5.1029764787092598E-2</v>
      </c>
      <c r="M116" s="4">
        <f>AVERAGE(L116:L118)</f>
        <v>5.0733973087781957E-2</v>
      </c>
      <c r="N116">
        <v>39</v>
      </c>
      <c r="O116">
        <f t="shared" si="10"/>
        <v>5.3768110434976042E-2</v>
      </c>
      <c r="P116" s="4">
        <f>AVERAGE(O116:O118)</f>
        <v>5.3443840051392875E-2</v>
      </c>
      <c r="Q116">
        <f t="shared" si="11"/>
        <v>5.3768110434976046</v>
      </c>
      <c r="R116" s="4">
        <f>AVERAGE(Q116:Q118)</f>
        <v>5.3443840051392888</v>
      </c>
    </row>
    <row r="117" spans="1:18" x14ac:dyDescent="0.2">
      <c r="A117">
        <v>116</v>
      </c>
      <c r="B117">
        <v>2021</v>
      </c>
      <c r="C117" t="s">
        <v>132</v>
      </c>
      <c r="D117" s="2">
        <v>7.6856</v>
      </c>
      <c r="E117" s="2">
        <v>7.3455000000000004</v>
      </c>
      <c r="I117" s="2">
        <f t="shared" si="12"/>
        <v>6.406533333333333</v>
      </c>
      <c r="J117" s="2">
        <f t="shared" si="13"/>
        <v>6.0664666666666669</v>
      </c>
      <c r="K117" s="2">
        <f t="shared" si="8"/>
        <v>0.34009999999999962</v>
      </c>
      <c r="L117" s="4">
        <f t="shared" si="9"/>
        <v>5.3086432600054058E-2</v>
      </c>
      <c r="O117">
        <f t="shared" si="10"/>
        <v>5.6056793081090482E-2</v>
      </c>
      <c r="Q117">
        <f t="shared" si="11"/>
        <v>5.6056793081090479</v>
      </c>
    </row>
    <row r="118" spans="1:18" x14ac:dyDescent="0.2">
      <c r="A118">
        <v>117</v>
      </c>
      <c r="B118">
        <v>2021</v>
      </c>
      <c r="C118" t="s">
        <v>133</v>
      </c>
      <c r="D118" s="2">
        <v>5.7960000000000003</v>
      </c>
      <c r="E118" s="2">
        <v>5.5788000000000002</v>
      </c>
      <c r="I118" s="2">
        <f t="shared" si="12"/>
        <v>4.5169333333333332</v>
      </c>
      <c r="J118" s="2">
        <f t="shared" si="13"/>
        <v>4.2997666666666667</v>
      </c>
      <c r="K118" s="2">
        <f t="shared" si="8"/>
        <v>0.21720000000000006</v>
      </c>
      <c r="L118" s="4">
        <f t="shared" si="9"/>
        <v>4.8085721876199208E-2</v>
      </c>
      <c r="O118">
        <f t="shared" si="10"/>
        <v>5.0506616638112109E-2</v>
      </c>
      <c r="Q118">
        <f t="shared" si="11"/>
        <v>5.0506616638112112</v>
      </c>
    </row>
    <row r="119" spans="1:18" x14ac:dyDescent="0.2">
      <c r="A119">
        <v>118</v>
      </c>
      <c r="B119">
        <v>2021</v>
      </c>
      <c r="C119" t="s">
        <v>134</v>
      </c>
      <c r="D119" s="2">
        <v>6.0083000000000002</v>
      </c>
      <c r="E119" s="2">
        <v>5.7948000000000004</v>
      </c>
      <c r="I119" s="2">
        <f t="shared" si="12"/>
        <v>4.7292333333333332</v>
      </c>
      <c r="J119" s="2">
        <f t="shared" si="13"/>
        <v>4.5157666666666669</v>
      </c>
      <c r="K119" s="2">
        <f t="shared" si="8"/>
        <v>0.2134999999999998</v>
      </c>
      <c r="L119" s="4">
        <f t="shared" si="9"/>
        <v>4.514473804774554E-2</v>
      </c>
      <c r="M119" s="4">
        <f>AVERAGE(L119:L121)</f>
        <v>4.4573417445494805E-2</v>
      </c>
      <c r="N119">
        <v>40</v>
      </c>
      <c r="O119">
        <f t="shared" si="10"/>
        <v>4.7271412015678305E-2</v>
      </c>
      <c r="P119" s="4">
        <f>AVERAGE(O119:O121)</f>
        <v>4.6645025029910463E-2</v>
      </c>
      <c r="Q119">
        <f t="shared" si="11"/>
        <v>4.7271412015678305</v>
      </c>
      <c r="R119" s="4">
        <f>AVERAGE(Q119:Q121)</f>
        <v>4.6645025029910459</v>
      </c>
    </row>
    <row r="120" spans="1:18" x14ac:dyDescent="0.2">
      <c r="A120">
        <v>119</v>
      </c>
      <c r="B120">
        <v>2021</v>
      </c>
      <c r="C120" t="s">
        <v>135</v>
      </c>
      <c r="D120" s="2">
        <v>6.3654000000000002</v>
      </c>
      <c r="E120" s="2">
        <v>6.1367000000000003</v>
      </c>
      <c r="I120" s="2">
        <f t="shared" si="12"/>
        <v>5.0863333333333332</v>
      </c>
      <c r="J120" s="2">
        <f t="shared" si="13"/>
        <v>4.8576666666666668</v>
      </c>
      <c r="K120" s="2">
        <f t="shared" si="8"/>
        <v>0.2286999999999999</v>
      </c>
      <c r="L120" s="4">
        <f t="shared" si="9"/>
        <v>4.4963628022806193E-2</v>
      </c>
      <c r="O120">
        <f t="shared" si="10"/>
        <v>4.7073354834282509E-2</v>
      </c>
      <c r="Q120">
        <f t="shared" si="11"/>
        <v>4.7073354834282508</v>
      </c>
    </row>
    <row r="121" spans="1:18" x14ac:dyDescent="0.2">
      <c r="A121">
        <v>120</v>
      </c>
      <c r="B121">
        <v>2021</v>
      </c>
      <c r="C121" t="s">
        <v>136</v>
      </c>
      <c r="D121" s="2">
        <v>4.8148</v>
      </c>
      <c r="E121" s="2">
        <v>4.6605999999999996</v>
      </c>
      <c r="I121" s="2">
        <f t="shared" si="12"/>
        <v>3.535733333333333</v>
      </c>
      <c r="J121" s="2">
        <f t="shared" si="13"/>
        <v>3.3815666666666662</v>
      </c>
      <c r="K121" s="2">
        <f t="shared" si="8"/>
        <v>0.15420000000000034</v>
      </c>
      <c r="L121" s="4">
        <f t="shared" si="9"/>
        <v>4.3611886265932674E-2</v>
      </c>
      <c r="O121">
        <f t="shared" si="10"/>
        <v>4.5590308239770561E-2</v>
      </c>
      <c r="Q121">
        <f t="shared" si="11"/>
        <v>4.5590308239770563</v>
      </c>
    </row>
    <row r="122" spans="1:18" x14ac:dyDescent="0.2">
      <c r="A122">
        <v>121</v>
      </c>
      <c r="B122">
        <v>2021</v>
      </c>
      <c r="C122" t="s">
        <v>137</v>
      </c>
      <c r="D122" s="2">
        <v>6.8756000000000004</v>
      </c>
      <c r="E122" s="2">
        <v>6.57</v>
      </c>
      <c r="I122" s="2">
        <f t="shared" si="12"/>
        <v>5.5965333333333334</v>
      </c>
      <c r="J122" s="2">
        <f t="shared" si="13"/>
        <v>5.2909666666666668</v>
      </c>
      <c r="K122" s="2">
        <f t="shared" si="8"/>
        <v>0.30560000000000009</v>
      </c>
      <c r="L122" s="4">
        <f t="shared" si="9"/>
        <v>5.4605231810168214E-2</v>
      </c>
      <c r="M122" s="4">
        <f>AVERAGE(L122:L124)</f>
        <v>5.317011265673597E-2</v>
      </c>
      <c r="N122">
        <v>41</v>
      </c>
      <c r="O122">
        <f t="shared" si="10"/>
        <v>5.7752521593407609E-2</v>
      </c>
      <c r="P122" s="4">
        <f>AVERAGE(O122:O124)</f>
        <v>5.6150551781705811E-2</v>
      </c>
      <c r="Q122">
        <f t="shared" si="11"/>
        <v>5.7752521593407611</v>
      </c>
      <c r="R122" s="4">
        <f>AVERAGE(Q122:Q124)</f>
        <v>5.6150551781705813</v>
      </c>
    </row>
    <row r="123" spans="1:18" x14ac:dyDescent="0.2">
      <c r="A123">
        <v>122</v>
      </c>
      <c r="B123">
        <v>2021</v>
      </c>
      <c r="C123" t="s">
        <v>138</v>
      </c>
      <c r="D123" s="2">
        <v>6.6261000000000001</v>
      </c>
      <c r="E123" s="2">
        <v>6.3436000000000003</v>
      </c>
      <c r="I123" s="2">
        <f t="shared" si="12"/>
        <v>5.3470333333333331</v>
      </c>
      <c r="J123" s="2">
        <f t="shared" si="13"/>
        <v>5.0645666666666669</v>
      </c>
      <c r="K123" s="2">
        <f t="shared" si="8"/>
        <v>0.28249999999999975</v>
      </c>
      <c r="L123" s="4">
        <f t="shared" si="9"/>
        <v>5.283303514098156E-2</v>
      </c>
      <c r="O123">
        <f t="shared" si="10"/>
        <v>5.5773116489071031E-2</v>
      </c>
      <c r="Q123">
        <f t="shared" si="11"/>
        <v>5.5773116489071031</v>
      </c>
    </row>
    <row r="124" spans="1:18" x14ac:dyDescent="0.2">
      <c r="A124">
        <v>123</v>
      </c>
      <c r="B124">
        <v>2021</v>
      </c>
      <c r="C124" t="s">
        <v>139</v>
      </c>
      <c r="D124" s="2">
        <v>6.9827000000000004</v>
      </c>
      <c r="E124" s="2">
        <v>6.6856999999999998</v>
      </c>
      <c r="I124" s="2">
        <f t="shared" si="12"/>
        <v>5.7036333333333333</v>
      </c>
      <c r="J124" s="2">
        <f t="shared" si="13"/>
        <v>5.4066666666666663</v>
      </c>
      <c r="K124" s="2">
        <f t="shared" si="8"/>
        <v>0.2970000000000006</v>
      </c>
      <c r="L124" s="4">
        <f t="shared" si="9"/>
        <v>5.2072071019058135E-2</v>
      </c>
      <c r="O124">
        <f t="shared" si="10"/>
        <v>5.4926017262638793E-2</v>
      </c>
      <c r="Q124">
        <f t="shared" si="11"/>
        <v>5.4926017262638798</v>
      </c>
    </row>
    <row r="125" spans="1:18" x14ac:dyDescent="0.2">
      <c r="A125">
        <v>124</v>
      </c>
      <c r="B125">
        <v>2021</v>
      </c>
      <c r="C125" t="s">
        <v>140</v>
      </c>
      <c r="D125" s="2">
        <v>6.6729000000000003</v>
      </c>
      <c r="E125" s="2">
        <v>6.3586</v>
      </c>
      <c r="I125" s="2">
        <f t="shared" si="12"/>
        <v>5.3938333333333333</v>
      </c>
      <c r="J125" s="2">
        <f t="shared" si="13"/>
        <v>5.0795666666666666</v>
      </c>
      <c r="K125" s="2">
        <f t="shared" si="8"/>
        <v>0.31430000000000025</v>
      </c>
      <c r="L125" s="4">
        <f t="shared" si="9"/>
        <v>5.8270246886877035E-2</v>
      </c>
      <c r="M125" s="4">
        <f>AVERAGE(L125:L127)</f>
        <v>5.4772610355731242E-2</v>
      </c>
      <c r="N125">
        <v>42</v>
      </c>
      <c r="O125">
        <f t="shared" si="10"/>
        <v>6.1868794582215024E-2</v>
      </c>
      <c r="P125" s="4">
        <f>AVERAGE(O125:O127)</f>
        <v>5.7947519325769602E-2</v>
      </c>
      <c r="Q125">
        <f t="shared" si="11"/>
        <v>6.1868794582215028</v>
      </c>
      <c r="R125" s="4">
        <f>AVERAGE(Q125:Q127)</f>
        <v>5.7947519325769603</v>
      </c>
    </row>
    <row r="126" spans="1:18" x14ac:dyDescent="0.2">
      <c r="A126">
        <v>125</v>
      </c>
      <c r="B126">
        <v>2021</v>
      </c>
      <c r="C126" t="s">
        <v>141</v>
      </c>
      <c r="D126" s="2">
        <v>6.4096000000000002</v>
      </c>
      <c r="E126" s="2">
        <v>6.1323999999999996</v>
      </c>
      <c r="I126" s="2">
        <f t="shared" si="12"/>
        <v>5.1305333333333332</v>
      </c>
      <c r="J126" s="2">
        <f t="shared" si="13"/>
        <v>4.8533666666666662</v>
      </c>
      <c r="K126" s="2">
        <f t="shared" si="8"/>
        <v>0.27720000000000056</v>
      </c>
      <c r="L126" s="4">
        <f t="shared" si="9"/>
        <v>5.4029470620338478E-2</v>
      </c>
      <c r="O126">
        <f t="shared" si="10"/>
        <v>5.7108124257388419E-2</v>
      </c>
      <c r="Q126">
        <f t="shared" si="11"/>
        <v>5.7108124257388422</v>
      </c>
    </row>
    <row r="127" spans="1:18" x14ac:dyDescent="0.2">
      <c r="A127">
        <v>126</v>
      </c>
      <c r="B127">
        <v>2021</v>
      </c>
      <c r="C127" t="s">
        <v>142</v>
      </c>
      <c r="D127" s="2">
        <v>6.7041000000000004</v>
      </c>
      <c r="E127" s="2">
        <v>6.4218999999999999</v>
      </c>
      <c r="I127" s="2">
        <f t="shared" si="12"/>
        <v>5.4250333333333334</v>
      </c>
      <c r="J127" s="2">
        <f t="shared" si="13"/>
        <v>5.1428666666666665</v>
      </c>
      <c r="K127" s="2">
        <f t="shared" si="8"/>
        <v>0.28220000000000045</v>
      </c>
      <c r="L127" s="4">
        <f t="shared" si="9"/>
        <v>5.2018113559978207E-2</v>
      </c>
      <c r="O127">
        <f t="shared" si="10"/>
        <v>5.4865639137705348E-2</v>
      </c>
      <c r="Q127">
        <f t="shared" si="11"/>
        <v>5.4865639137705351</v>
      </c>
    </row>
    <row r="128" spans="1:18" x14ac:dyDescent="0.2">
      <c r="A128">
        <v>127</v>
      </c>
      <c r="B128">
        <v>2021</v>
      </c>
      <c r="C128" t="s">
        <v>143</v>
      </c>
      <c r="D128" s="2">
        <v>6.7108999999999996</v>
      </c>
      <c r="E128" s="2">
        <v>6.5412999999999997</v>
      </c>
      <c r="I128" s="2">
        <f t="shared" si="12"/>
        <v>5.4318333333333326</v>
      </c>
      <c r="J128" s="2">
        <f t="shared" si="13"/>
        <v>5.2622666666666662</v>
      </c>
      <c r="K128" s="2">
        <f t="shared" si="8"/>
        <v>0.16959999999999997</v>
      </c>
      <c r="L128" s="4">
        <f t="shared" si="9"/>
        <v>3.1223343867938999E-2</v>
      </c>
      <c r="M128" s="4">
        <f>AVERAGE(L128:L130)</f>
        <v>2.7945031572765327E-2</v>
      </c>
      <c r="N128">
        <v>43</v>
      </c>
      <c r="O128">
        <f t="shared" si="10"/>
        <v>3.2223123115514181E-2</v>
      </c>
      <c r="P128" s="4">
        <f>AVERAGE(O128:O130)</f>
        <v>2.8749197963112819E-2</v>
      </c>
      <c r="Q128">
        <f t="shared" si="11"/>
        <v>3.2223123115514181</v>
      </c>
      <c r="R128" s="4">
        <f>AVERAGE(Q128:Q130)</f>
        <v>2.874919796311282</v>
      </c>
    </row>
    <row r="129" spans="1:18" x14ac:dyDescent="0.2">
      <c r="A129">
        <v>128</v>
      </c>
      <c r="B129">
        <v>2021</v>
      </c>
      <c r="C129" t="s">
        <v>144</v>
      </c>
      <c r="D129" s="2">
        <v>7.0903999999999998</v>
      </c>
      <c r="E129" s="2">
        <v>6.9432</v>
      </c>
      <c r="I129" s="2">
        <f t="shared" si="12"/>
        <v>5.8113333333333328</v>
      </c>
      <c r="J129" s="2">
        <f t="shared" si="13"/>
        <v>5.6641666666666666</v>
      </c>
      <c r="K129" s="2">
        <f t="shared" si="8"/>
        <v>0.14719999999999978</v>
      </c>
      <c r="L129" s="4">
        <f t="shared" si="9"/>
        <v>2.5329815303430044E-2</v>
      </c>
      <c r="O129">
        <f t="shared" si="10"/>
        <v>2.5982050904810868E-2</v>
      </c>
      <c r="Q129">
        <f t="shared" si="11"/>
        <v>2.5982050904810867</v>
      </c>
    </row>
    <row r="130" spans="1:18" x14ac:dyDescent="0.2">
      <c r="A130">
        <v>129</v>
      </c>
      <c r="B130">
        <v>2021</v>
      </c>
      <c r="C130" t="s">
        <v>145</v>
      </c>
      <c r="D130" s="2">
        <v>8.7821999999999996</v>
      </c>
      <c r="E130" s="2">
        <v>8.5775000000000006</v>
      </c>
      <c r="I130" s="2">
        <f t="shared" si="12"/>
        <v>7.5031333333333325</v>
      </c>
      <c r="J130" s="2">
        <f t="shared" si="13"/>
        <v>7.2984666666666671</v>
      </c>
      <c r="K130" s="2">
        <f t="shared" si="8"/>
        <v>0.20469999999999899</v>
      </c>
      <c r="L130" s="4">
        <f t="shared" si="9"/>
        <v>2.7281935546926931E-2</v>
      </c>
      <c r="O130">
        <f t="shared" si="10"/>
        <v>2.8042419869013412E-2</v>
      </c>
      <c r="Q130">
        <f t="shared" si="11"/>
        <v>2.8042419869013413</v>
      </c>
    </row>
    <row r="131" spans="1:18" x14ac:dyDescent="0.2">
      <c r="A131">
        <v>130</v>
      </c>
      <c r="B131">
        <v>2021</v>
      </c>
      <c r="C131" t="s">
        <v>146</v>
      </c>
      <c r="D131" s="2">
        <v>6.2556000000000003</v>
      </c>
      <c r="E131" s="2">
        <v>6.1261999999999999</v>
      </c>
      <c r="I131" s="2">
        <f t="shared" si="12"/>
        <v>4.9765333333333333</v>
      </c>
      <c r="J131" s="2">
        <f t="shared" si="13"/>
        <v>4.8471666666666664</v>
      </c>
      <c r="K131" s="2">
        <f t="shared" ref="K131:K139" si="14">D131-E131</f>
        <v>0.1294000000000004</v>
      </c>
      <c r="L131" s="4">
        <f t="shared" ref="L131:L139" si="15">K131/I131</f>
        <v>2.6002036223341633E-2</v>
      </c>
      <c r="M131" s="4">
        <f>AVERAGE(L131:L133)</f>
        <v>2.6819557455864493E-2</v>
      </c>
      <c r="N131">
        <v>44</v>
      </c>
      <c r="O131">
        <f t="shared" ref="O131:O143" si="16">(I131-J131)/J131</f>
        <v>2.6689131107519897E-2</v>
      </c>
      <c r="P131" s="4">
        <f>AVERAGE(O131:O133)</f>
        <v>2.755305248767596E-2</v>
      </c>
      <c r="Q131">
        <f t="shared" ref="Q131:Q143" si="17">O131*100</f>
        <v>2.6689131107519897</v>
      </c>
      <c r="R131" s="4">
        <f>AVERAGE(Q131:Q133)</f>
        <v>2.7553052487675962</v>
      </c>
    </row>
    <row r="132" spans="1:18" x14ac:dyDescent="0.2">
      <c r="A132">
        <v>131</v>
      </c>
      <c r="B132">
        <v>2021</v>
      </c>
      <c r="C132" t="s">
        <v>147</v>
      </c>
      <c r="D132" s="2">
        <v>6.2986000000000004</v>
      </c>
      <c r="E132" s="2">
        <v>6.1673</v>
      </c>
      <c r="I132" s="2">
        <f t="shared" si="12"/>
        <v>5.0195333333333334</v>
      </c>
      <c r="J132" s="2">
        <f t="shared" si="13"/>
        <v>4.8882666666666665</v>
      </c>
      <c r="K132" s="2">
        <f t="shared" si="14"/>
        <v>0.13130000000000042</v>
      </c>
      <c r="L132" s="4">
        <f t="shared" si="15"/>
        <v>2.6157810154994569E-2</v>
      </c>
      <c r="O132">
        <f t="shared" si="16"/>
        <v>2.6853417707708296E-2</v>
      </c>
      <c r="Q132">
        <f t="shared" si="17"/>
        <v>2.6853417707708296</v>
      </c>
    </row>
    <row r="133" spans="1:18" x14ac:dyDescent="0.2">
      <c r="A133">
        <v>132</v>
      </c>
      <c r="B133">
        <v>2021</v>
      </c>
      <c r="C133" t="s">
        <v>148</v>
      </c>
      <c r="D133" s="2">
        <v>6.827</v>
      </c>
      <c r="E133" s="2">
        <v>6.67</v>
      </c>
      <c r="I133" s="2">
        <f t="shared" si="12"/>
        <v>5.5479333333333329</v>
      </c>
      <c r="J133" s="2">
        <f t="shared" si="13"/>
        <v>5.3909666666666665</v>
      </c>
      <c r="K133" s="2">
        <f t="shared" si="14"/>
        <v>0.15700000000000003</v>
      </c>
      <c r="L133" s="4">
        <f t="shared" si="15"/>
        <v>2.829882598925727E-2</v>
      </c>
      <c r="O133">
        <f t="shared" si="16"/>
        <v>2.9116608647799681E-2</v>
      </c>
      <c r="Q133">
        <f t="shared" si="17"/>
        <v>2.911660864779968</v>
      </c>
    </row>
    <row r="134" spans="1:18" x14ac:dyDescent="0.2">
      <c r="A134">
        <v>133</v>
      </c>
      <c r="B134">
        <v>2021</v>
      </c>
      <c r="C134" t="s">
        <v>149</v>
      </c>
      <c r="D134" s="2">
        <v>7.3284000000000002</v>
      </c>
      <c r="E134" s="2">
        <v>7.1525999999999996</v>
      </c>
      <c r="I134" s="2">
        <f t="shared" si="12"/>
        <v>6.0493333333333332</v>
      </c>
      <c r="J134" s="2">
        <f t="shared" si="13"/>
        <v>5.8735666666666662</v>
      </c>
      <c r="K134" s="2">
        <f t="shared" si="14"/>
        <v>0.17580000000000062</v>
      </c>
      <c r="L134" s="4">
        <f t="shared" si="15"/>
        <v>2.9061053559620999E-2</v>
      </c>
      <c r="M134" s="4">
        <f>AVERAGE(L134:L136)</f>
        <v>2.8359279235846389E-2</v>
      </c>
      <c r="N134">
        <v>45</v>
      </c>
      <c r="O134">
        <f t="shared" si="16"/>
        <v>2.9925031355167574E-2</v>
      </c>
      <c r="P134" s="4">
        <f>AVERAGE(O134:O136)</f>
        <v>2.9180323310557237E-2</v>
      </c>
      <c r="Q134">
        <f t="shared" si="17"/>
        <v>2.9925031355167575</v>
      </c>
      <c r="R134" s="4">
        <f>AVERAGE(Q134:Q136)</f>
        <v>2.9180323310557239</v>
      </c>
    </row>
    <row r="135" spans="1:18" x14ac:dyDescent="0.2">
      <c r="A135">
        <v>134</v>
      </c>
      <c r="B135">
        <v>2021</v>
      </c>
      <c r="C135" t="s">
        <v>150</v>
      </c>
      <c r="D135" s="2">
        <v>5.4843999999999999</v>
      </c>
      <c r="E135" s="2">
        <v>5.3663999999999996</v>
      </c>
      <c r="I135" s="2">
        <f t="shared" si="12"/>
        <v>4.2053333333333329</v>
      </c>
      <c r="J135" s="2">
        <f t="shared" si="13"/>
        <v>4.0873666666666661</v>
      </c>
      <c r="K135" s="2">
        <f t="shared" si="14"/>
        <v>0.11800000000000033</v>
      </c>
      <c r="L135" s="4">
        <f t="shared" si="15"/>
        <v>2.8059606848446498E-2</v>
      </c>
      <c r="O135">
        <f t="shared" si="16"/>
        <v>2.8861288033860462E-2</v>
      </c>
      <c r="Q135">
        <f t="shared" si="17"/>
        <v>2.8861288033860464</v>
      </c>
    </row>
    <row r="136" spans="1:18" x14ac:dyDescent="0.2">
      <c r="A136">
        <v>135</v>
      </c>
      <c r="B136">
        <v>2021</v>
      </c>
      <c r="C136" t="s">
        <v>151</v>
      </c>
      <c r="D136" s="2">
        <v>6.6158000000000001</v>
      </c>
      <c r="E136" s="2">
        <v>6.4665999999999997</v>
      </c>
      <c r="I136" s="2">
        <f t="shared" si="12"/>
        <v>5.3367333333333331</v>
      </c>
      <c r="J136" s="2">
        <f t="shared" si="13"/>
        <v>5.1875666666666662</v>
      </c>
      <c r="K136" s="2">
        <f t="shared" si="14"/>
        <v>0.14920000000000044</v>
      </c>
      <c r="L136" s="4">
        <f t="shared" si="15"/>
        <v>2.7957177299471669E-2</v>
      </c>
      <c r="O136">
        <f t="shared" si="16"/>
        <v>2.8754650542643676E-2</v>
      </c>
      <c r="Q136">
        <f t="shared" si="17"/>
        <v>2.8754650542643678</v>
      </c>
    </row>
    <row r="137" spans="1:18" x14ac:dyDescent="0.2">
      <c r="A137">
        <v>136</v>
      </c>
      <c r="B137">
        <v>2021</v>
      </c>
      <c r="C137" t="s">
        <v>152</v>
      </c>
      <c r="D137" s="2">
        <v>5.3685999999999998</v>
      </c>
      <c r="E137" s="2">
        <v>5.1624999999999996</v>
      </c>
      <c r="I137" s="2">
        <f t="shared" si="12"/>
        <v>4.0895333333333328</v>
      </c>
      <c r="J137" s="2">
        <f t="shared" si="13"/>
        <v>3.8834666666666662</v>
      </c>
      <c r="K137" s="2">
        <f t="shared" si="14"/>
        <v>0.20610000000000017</v>
      </c>
      <c r="L137" s="4">
        <f t="shared" si="15"/>
        <v>5.0396948307060346E-2</v>
      </c>
      <c r="M137" s="4">
        <f>AVERAGE(L137:L139)</f>
        <v>4.6642332219809353E-2</v>
      </c>
      <c r="N137">
        <v>46</v>
      </c>
      <c r="O137">
        <f t="shared" si="16"/>
        <v>5.3062555792075805E-2</v>
      </c>
      <c r="P137" s="4">
        <f>AVERAGE(O137:O139)</f>
        <v>4.8927651801435733E-2</v>
      </c>
      <c r="Q137">
        <f t="shared" si="17"/>
        <v>5.3062555792075807</v>
      </c>
      <c r="R137" s="4">
        <f>AVERAGE(Q137:Q139)</f>
        <v>4.8927651801435736</v>
      </c>
    </row>
    <row r="138" spans="1:18" x14ac:dyDescent="0.2">
      <c r="A138">
        <v>137</v>
      </c>
      <c r="B138">
        <v>2021</v>
      </c>
      <c r="C138" t="s">
        <v>153</v>
      </c>
      <c r="D138" s="2">
        <v>6.3132000000000001</v>
      </c>
      <c r="E138" s="2">
        <v>6.0975000000000001</v>
      </c>
      <c r="I138" s="2">
        <f t="shared" si="12"/>
        <v>5.0341333333333331</v>
      </c>
      <c r="J138" s="2">
        <f t="shared" si="13"/>
        <v>4.8184666666666667</v>
      </c>
      <c r="K138" s="2">
        <f t="shared" si="14"/>
        <v>0.2157</v>
      </c>
      <c r="L138" s="4">
        <f t="shared" si="15"/>
        <v>4.2847494437970125E-2</v>
      </c>
      <c r="O138">
        <f t="shared" si="16"/>
        <v>4.4758360197573177E-2</v>
      </c>
      <c r="Q138">
        <f t="shared" si="17"/>
        <v>4.4758360197573177</v>
      </c>
    </row>
    <row r="139" spans="1:18" x14ac:dyDescent="0.2">
      <c r="A139">
        <v>138</v>
      </c>
      <c r="B139">
        <v>2021</v>
      </c>
      <c r="C139" t="s">
        <v>154</v>
      </c>
      <c r="D139" s="2">
        <v>6.93</v>
      </c>
      <c r="E139" s="2">
        <v>6.6661999999999999</v>
      </c>
      <c r="I139" s="2">
        <f t="shared" si="12"/>
        <v>5.6509333333333327</v>
      </c>
      <c r="J139" s="2">
        <f t="shared" si="13"/>
        <v>5.3871666666666664</v>
      </c>
      <c r="K139" s="2">
        <f t="shared" si="14"/>
        <v>0.26379999999999981</v>
      </c>
      <c r="L139" s="4">
        <f t="shared" si="15"/>
        <v>4.6682553914397594E-2</v>
      </c>
      <c r="O139">
        <f t="shared" si="16"/>
        <v>4.8962039414658216E-2</v>
      </c>
      <c r="Q139">
        <f t="shared" si="17"/>
        <v>4.8962039414658216</v>
      </c>
    </row>
    <row r="140" spans="1:18" x14ac:dyDescent="0.2">
      <c r="A140">
        <v>139</v>
      </c>
      <c r="B140" t="s">
        <v>155</v>
      </c>
      <c r="D140" s="2">
        <v>2.4607000000000001</v>
      </c>
      <c r="E140" s="2">
        <v>2.4605000000000001</v>
      </c>
      <c r="I140" s="2"/>
      <c r="J140" s="2"/>
      <c r="K140" s="2"/>
      <c r="L140" s="4"/>
      <c r="M140" s="4"/>
    </row>
    <row r="141" spans="1:18" x14ac:dyDescent="0.2">
      <c r="A141">
        <v>140</v>
      </c>
      <c r="B141" t="s">
        <v>156</v>
      </c>
      <c r="D141" s="2">
        <v>3.8372000000000002</v>
      </c>
      <c r="E141" s="2">
        <v>3.8371</v>
      </c>
      <c r="I141" s="2"/>
      <c r="J141" s="2"/>
      <c r="K141" s="2"/>
      <c r="L141" s="4"/>
    </row>
    <row r="142" spans="1:18" x14ac:dyDescent="0.2">
      <c r="B142" t="s">
        <v>157</v>
      </c>
      <c r="D142" s="2">
        <f>D140/3</f>
        <v>0.82023333333333337</v>
      </c>
      <c r="E142" s="2">
        <f>E140/3</f>
        <v>0.82016666666666671</v>
      </c>
      <c r="I142" s="2"/>
      <c r="J142" s="2"/>
      <c r="L142" s="4"/>
    </row>
    <row r="143" spans="1:18" x14ac:dyDescent="0.2">
      <c r="B143" t="s">
        <v>158</v>
      </c>
      <c r="D143" s="2">
        <f>D141/3</f>
        <v>1.2790666666666668</v>
      </c>
      <c r="E143" s="2">
        <f>E141/3</f>
        <v>1.2790333333333332</v>
      </c>
      <c r="I143" s="2"/>
      <c r="J143" s="2"/>
      <c r="L143" s="4"/>
      <c r="M143" s="4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Data</vt:lpstr>
      <vt:lpstr>2018</vt:lpstr>
      <vt:lpstr>2019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Paulus</dc:creator>
  <cp:lastModifiedBy>Lizzie Paulus</cp:lastModifiedBy>
  <dcterms:created xsi:type="dcterms:W3CDTF">2026-03-03T17:24:06Z</dcterms:created>
  <dcterms:modified xsi:type="dcterms:W3CDTF">2026-03-06T04:40:08Z</dcterms:modified>
</cp:coreProperties>
</file>