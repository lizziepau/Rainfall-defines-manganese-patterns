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aulus/Library/Mobile Documents/com~apple~CloudDocs/Stanford/PhD/PhD Lab/Projects/Thesis_Hawaii/Kohala Gradient/Data/XANES/202201_BL93/202201_BL93_SoilData/"/>
    </mc:Choice>
  </mc:AlternateContent>
  <xr:revisionPtr revIDLastSave="0" documentId="13_ncr:1_{AD719516-CAEF-C048-83B2-86A7955EA13F}" xr6:coauthVersionLast="47" xr6:coauthVersionMax="47" xr10:uidLastSave="{00000000-0000-0000-0000-000000000000}"/>
  <bookViews>
    <workbookView xWindow="12680" yWindow="1040" windowWidth="19420" windowHeight="17400" xr2:uid="{451D6B27-15DA-42BA-B869-84A7EEF30A87}"/>
  </bookViews>
  <sheets>
    <sheet name="redo_20220617_234" sheetId="17" r:id="rId1"/>
    <sheet name="redo_20220614" sheetId="16" r:id="rId2"/>
    <sheet name="P02" sheetId="1" r:id="rId3"/>
    <sheet name="P03" sheetId="2" r:id="rId4"/>
    <sheet name="P06" sheetId="3" r:id="rId5"/>
    <sheet name="P11" sheetId="4" r:id="rId6"/>
    <sheet name="P15" sheetId="5" r:id="rId7"/>
    <sheet name="P18" sheetId="6" r:id="rId8"/>
    <sheet name="P27" sheetId="7" r:id="rId9"/>
    <sheet name="P30" sheetId="8" r:id="rId10"/>
    <sheet name="P32" sheetId="9" r:id="rId11"/>
    <sheet name="P33" sheetId="10" r:id="rId12"/>
    <sheet name="P36" sheetId="11" r:id="rId13"/>
    <sheet name="P39" sheetId="12" r:id="rId14"/>
    <sheet name="P42" sheetId="13" r:id="rId15"/>
    <sheet name="P44" sheetId="14" r:id="rId16"/>
    <sheet name="P45" sheetId="15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X89" i="17" l="1"/>
  <c r="AW89" i="17"/>
  <c r="AV89" i="17"/>
  <c r="AT89" i="17"/>
  <c r="AX83" i="17"/>
  <c r="AW83" i="17"/>
  <c r="AV83" i="17"/>
  <c r="AT83" i="17"/>
  <c r="AX77" i="17"/>
  <c r="AW77" i="17"/>
  <c r="AV77" i="17"/>
  <c r="AT77" i="17"/>
  <c r="AX71" i="17"/>
  <c r="AW71" i="17"/>
  <c r="AV71" i="17"/>
  <c r="AT71" i="17"/>
  <c r="AX65" i="17"/>
  <c r="AW65" i="17"/>
  <c r="AV65" i="17"/>
  <c r="AT65" i="17"/>
  <c r="AX59" i="17"/>
  <c r="AW59" i="17"/>
  <c r="AV59" i="17"/>
  <c r="AT59" i="17"/>
  <c r="AX53" i="17"/>
  <c r="AW53" i="17"/>
  <c r="AV53" i="17"/>
  <c r="AT53" i="17"/>
  <c r="AX47" i="17"/>
  <c r="AW47" i="17"/>
  <c r="AV47" i="17"/>
  <c r="AT47" i="17"/>
  <c r="AX41" i="17"/>
  <c r="AW41" i="17"/>
  <c r="AV41" i="17"/>
  <c r="AT41" i="17"/>
  <c r="AX35" i="17"/>
  <c r="AW35" i="17"/>
  <c r="AV35" i="17"/>
  <c r="AT35" i="17"/>
  <c r="AX29" i="17"/>
  <c r="AW29" i="17"/>
  <c r="AV29" i="17"/>
  <c r="AT29" i="17"/>
  <c r="AX5" i="17"/>
  <c r="AW5" i="17"/>
  <c r="AV5" i="17"/>
  <c r="AT5" i="17"/>
  <c r="AX23" i="17"/>
  <c r="AW23" i="17"/>
  <c r="AV23" i="17"/>
  <c r="AT23" i="17"/>
  <c r="AX17" i="17"/>
  <c r="AW17" i="17"/>
  <c r="AV17" i="17"/>
  <c r="AT17" i="17"/>
  <c r="AV11" i="17"/>
  <c r="AW11" i="17"/>
  <c r="AX11" i="17"/>
  <c r="AT11" i="17"/>
  <c r="AV30" i="17" l="1"/>
  <c r="AV42" i="17"/>
  <c r="AV60" i="17"/>
  <c r="AW18" i="17"/>
  <c r="AW24" i="17"/>
  <c r="AW6" i="17"/>
  <c r="AV24" i="17"/>
  <c r="AV36" i="17"/>
  <c r="AV54" i="17"/>
  <c r="AX18" i="17"/>
  <c r="AV78" i="17"/>
  <c r="AX24" i="17"/>
  <c r="AX6" i="17"/>
  <c r="AW30" i="17"/>
  <c r="AW36" i="17"/>
  <c r="AW42" i="17"/>
  <c r="AW48" i="17"/>
  <c r="AW54" i="17"/>
  <c r="AW60" i="17"/>
  <c r="AW66" i="17"/>
  <c r="AW72" i="17"/>
  <c r="AW78" i="17"/>
  <c r="AW84" i="17"/>
  <c r="AW90" i="17"/>
  <c r="AV18" i="17"/>
  <c r="AX30" i="17"/>
  <c r="AX36" i="17"/>
  <c r="AX42" i="17"/>
  <c r="AX48" i="17"/>
  <c r="AX54" i="17"/>
  <c r="AX60" i="17"/>
  <c r="AX66" i="17"/>
  <c r="AX72" i="17"/>
  <c r="AX78" i="17"/>
  <c r="AX84" i="17"/>
  <c r="AX90" i="17"/>
  <c r="AV6" i="17"/>
  <c r="AV48" i="17"/>
  <c r="AV66" i="17"/>
  <c r="AV72" i="17"/>
  <c r="AV84" i="17"/>
  <c r="AV90" i="17"/>
  <c r="AX12" i="17"/>
  <c r="AW12" i="17"/>
  <c r="AV12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Lizzie</author>
  </authors>
  <commentList>
    <comment ref="E5" authorId="0" shapeId="0" xr:uid="{755A110A-5F64-4D3D-B4B9-CC4A0B1F527B}">
      <text>
        <r>
          <rPr>
            <b/>
            <sz val="9"/>
            <color indexed="81"/>
            <rFont val="Tahoma"/>
            <family val="2"/>
          </rPr>
          <t>Lizzie:</t>
        </r>
        <r>
          <rPr>
            <sz val="9"/>
            <color indexed="81"/>
            <rFont val="Tahoma"/>
            <family val="2"/>
          </rPr>
          <t xml:space="preserve">
excluded from analyses in far left LCF fit and fit figure from Athena</t>
        </r>
      </text>
    </comment>
    <comment ref="E6" authorId="0" shapeId="0" xr:uid="{EF9E4F48-1879-4158-BAFF-B52B212F40F2}">
      <text>
        <r>
          <rPr>
            <b/>
            <sz val="9"/>
            <color indexed="81"/>
            <rFont val="Tahoma"/>
            <family val="2"/>
          </rPr>
          <t>Lizzie:</t>
        </r>
        <r>
          <rPr>
            <sz val="9"/>
            <color indexed="81"/>
            <rFont val="Tahoma"/>
            <family val="2"/>
          </rPr>
          <t xml:space="preserve">
excluded from analyses in far left LCF fit and fit figure from Athena</t>
        </r>
      </text>
    </comment>
    <comment ref="E7" authorId="0" shapeId="0" xr:uid="{8C979FC6-6F49-47C6-8FA7-46EC0EFF8814}">
      <text>
        <r>
          <rPr>
            <b/>
            <sz val="9"/>
            <color indexed="81"/>
            <rFont val="Tahoma"/>
            <family val="2"/>
          </rPr>
          <t>Lizzie:</t>
        </r>
        <r>
          <rPr>
            <sz val="9"/>
            <color indexed="81"/>
            <rFont val="Tahoma"/>
            <family val="2"/>
          </rPr>
          <t xml:space="preserve">
excluded from analyses in far left LCF fit and fit figure from Athena</t>
        </r>
      </text>
    </comment>
    <comment ref="E11" authorId="0" shapeId="0" xr:uid="{B26244DC-008B-4D6E-AC46-C5BF45744BCD}">
      <text>
        <r>
          <rPr>
            <b/>
            <sz val="9"/>
            <color indexed="81"/>
            <rFont val="Tahoma"/>
            <family val="2"/>
          </rPr>
          <t>Lizzie:</t>
        </r>
        <r>
          <rPr>
            <sz val="9"/>
            <color indexed="81"/>
            <rFont val="Tahoma"/>
            <family val="2"/>
          </rPr>
          <t xml:space="preserve">
excluded from analyses in far left LCF fit and fit figure from Athena</t>
        </r>
      </text>
    </comment>
  </commentList>
</comments>
</file>

<file path=xl/sharedStrings.xml><?xml version="1.0" encoding="utf-8"?>
<sst xmlns="http://schemas.openxmlformats.org/spreadsheetml/2006/main" count="195" uniqueCount="104">
  <si>
    <t>LCF fit of 202201_P02_merge as flattened mu(E) from 6519 to 6589
Fit included 206 data points and 2 variables, and approximately 57.866 measurements
Weights sum to 1: yes
Weights forced between 0 and 1: yes
Overall e0 shift used: no
Noise added to data: 0
R-factor = 0.0023757
Chi-square = 0.14582
Reduced chi-square = 0.0007113
.    standard             weight           e0
========================================================
.   Mn4-Ca2Mn3O8.dat      0.163 (0.033)    0.000 (0.000)
.   mncl2_3.xmu           0.235 (0.006)    0.000 (0.000)
.   BULK175_MnK_LP_Mn2carbonate_DEC21_036_001.xdi  0.602 (0.039)    0.000 (0.000)
.         sum ........... 1.000</t>
  </si>
  <si>
    <t>LCF fit of 202201_P03_merge as flattened mu(E) from 6519 to 6589
Fit included 206 data points and 2 variables, and approximately 57.866 measurements
Weights sum to 1: yes
Weights forced between 0 and 1: yes
Overall e0 shift used: no
Noise added to data: 0
R-factor = 0.0030714
Chi-square = 0.16881
Reduced chi-square = 0.0008234
.    standard             weight           e0
========================================================
.   mncl2_3.xmu           0.242 (0.010)    0.000 (0.000)
.   BULK175_MnK_LP_Mn3oxalate_DEC21_030_001.xdi  0.204 (0.024)    0.000 (0.000)
.   BULK175_MnK_LP_Franklinite_DEC21_040_001.xdi  0.554 (0.022)    0.000 (0.000)
.         sum ........... 1.000</t>
  </si>
  <si>
    <t>LCF fit of 202201_P11_merge as flattened mu(E) from 6519 to 6589
Fit included 206 data points and 2 variables, and approximately 57.866 measurements
Weights sum to 1: yes
Weights forced between 0 and 1: yes
Overall e0 shift used: no
Noise added to data: 0
R-factor = 0.0027580
Chi-square = 0.16811
Reduced chi-square = 0.0008200
.    standard             weight           e0
========================================================
.   Mn4-Ca2Mn3O8.dat      0.181 (0.038)    0.000 (0.000)
.   BULK175_MnK_LP_Franklinite_DEC21_040_001.xdi  0.341 (0.012)    0.000 (0.000)
.   BULK175_MnK_LP_Mn2carbonate_DEC21_036_001.xdi  0.478 (0.070)    0.000 (0.000)
.         sum ........... 1.000</t>
  </si>
  <si>
    <t>LCF fit of 202201_P15_merge as flattened mu(E) from 6519 to 6589
Fit included 206 data points and 2 variables, and approximately 57.866 measurements
Weights sum to 1: yes
Weights forced between 0 and 1: yes
Overall e0 shift used: no
Noise added to data: 0
R-factor = 0.0011938
Chi-square = 0.07391
Reduced chi-square = 0.0003605
.    standard             weight           e0
========================================================
.   Mn4-Ca2Mn3O8.dat      0.230 (0.025)    0.000 (0.000)
.   BULK175_MnK_LP_Franklinite_DEC21_040_001.xdi  0.351 (0.008)    0.000 (0.000)
.   BULK175_MnK_LP_Mn2carbonate_DEC21_036_001.xdi  0.419 (0.033)    0.000 (0.000)
.         sum ........... 1.000</t>
  </si>
  <si>
    <t>LCF fit of 202201_P18_merge as flattened mu(E) from 6519 to 6589
Fit included 206 data points and 2 variables, and approximately 57.866 measurements
Weights sum to 1: yes
Weights forced between 0 and 1: yes
Overall e0 shift used: no
Noise added to data: 0
R-factor = 0.0008534
Chi-square = 0.05514
Reduced chi-square = 0.0002690
.    standard             weight           e0
========================================================
.   Mn4-Ca2Mn3O8.dat      0.306 (0.019)    0.000 (0.000)
.   Mn2-Rhodocrosite.dat  0.081 (0.003)    0.000 (0.000)
.   BULK175_MnK_LP_Mn2carbonate_DEC21_036_001.xdi  0.614 (0.026)    0.000 (0.000)
.         sum ........... 1.000</t>
  </si>
  <si>
    <t>LCF fit of 202201_P27_merge as flattened mu(E) from 6519 to 6589
Fit included 206 data points and 2 variables, and approximately 57.866 measurements
Weights sum to 1: yes
Weights forced between 0 and 1: yes
Overall e0 shift used: no
Noise added to data: 0
R-factor = 0.0012113
Chi-square = 0.07524
Reduced chi-square = 0.0003670
.    standard             weight           e0
========================================================
.   Mn4-Ca2Mn3O8.dat      0.287 (0.025)    0.000 (0.000)
.   BULK175_MnK_LP_Franklinite_DEC21_040_001.xdi  0.333 (0.008)    0.000 (0.000)
.   BULK175_MnK_LP_Mn2carbonate_DEC21_036_001.xdi  0.379 (0.029)    0.000 (0.000)
.         sum ........... 1.000</t>
  </si>
  <si>
    <t>LCF fit of 202201_P30_merge as flattened mu(E) from 6519 to 6589
Fit included 206 data points and 2 variables, and approximately 57.866 measurements
Weights sum to 1: yes
Weights forced between 0 and 1: yes
Overall e0 shift used: no
Noise added to data: 0
R-factor = 0.0007170
Chi-square = 0.04379
Reduced chi-square = 0.0002136
.    standard             weight           e0
========================================================
.   BULK175_MnK_LP_Mn3oxalate_DEC21_030_001.xdi  0.398 (0.009)    0.000 (0.000)
.   Mn2-Rhodocrosite.dat  0.120 (0.003)    0.000 (0.000)
.   BULK175_MnK_LP_Mn2carbonate_DEC21_036_001.xdi  0.482 (0.009)    0.000 (0.000)
.         sum ........... 1.000</t>
  </si>
  <si>
    <t>LCF fit of 202201_P32_merge as flattened mu(E) from 6519 to 6589
Fit included 206 data points and 2 variables, and approximately 57.866 measurements
Weights sum to 1: yes
Weights forced between 0 and 1: yes
Overall e0 shift used: no
Noise added to data: 0
R-factor = 0.0025889
Chi-square = 0.14755
Reduced chi-square = 0.0007198
.    standard             weight           e0
========================================================
.   BULK175_MnK_LP_Mn3oxalate_DEC21_030_001.xdi  0.374 (0.022)    0.000 (0.000)
.   BULK175_MnK_LP_Franklinite_DEC21_040_001.xdi  0.504 (0.015)    0.000 (0.000)
.   BULK175_MnK_LP_Mn2carbonate_DEC21_036_001.xdi  0.122 (0.016)    0.000 (0.000)
.         sum ........... 1.000</t>
  </si>
  <si>
    <t>LCF fit of 202201_P33_merge as flattened mu(E) from 6519 to 6589
Fit included 206 data points and 2 variables, and approximately 57.866 measurements
Weights sum to 1: yes
Weights forced between 0 and 1: yes
Overall e0 shift used: no
Noise added to data: 0
R-factor = 0.0011372
Chi-square = 0.06592
Reduced chi-square = 0.0003216
.    standard             weight           e0
========================================================
.   BULK175_MnK_LP_Mn3oxalate_DEC21_030_001.xdi  0.515 (0.012)    0.000 (0.000)
.   Mn2-Rhodocrosite.dat  0.189 (0.004)    0.000 (0.000)
.   BULK175_MnK_LP_Mn2carbonate_DEC21_036_001.xdi  0.296 (0.011)    0.000 (0.000)
.         sum ........... 1.000</t>
  </si>
  <si>
    <t>LCF fit of 202201_P36_merge as flattened mu(E) from 6519 to 6589
Fit included 206 data points and 2 variables, and approximately 57.866 measurements
Weights sum to 1: yes
Weights forced between 0 and 1: yes
Overall e0 shift used: no
Noise added to data: 0
R-factor = 0.0012972
Chi-square = 0.07786
Reduced chi-square = 0.0003798
.    standard             weight           e0
========================================================
.   BULK175_MnK_LP_Mn3oxalate_DEC21_030_001.xdi  0.271 (0.016)    0.000 (0.000)
.   BULK175_MnK_LP_Franklinite_DEC21_040_001.xdi  0.372 (0.011)    0.000 (0.000)
.   BULK175_MnK_LP_Mn2carbonate_DEC21_036_001.xdi  0.356 (0.011)    0.000 (0.000)
.         sum ........... 1.000</t>
  </si>
  <si>
    <t>LCF fit of 202201_P39_merge as flattened mu(E) from 6519 to 6589
Fit included 206 data points and 2 variables, and approximately 57.866 measurements
Weights sum to 1: yes
Weights forced between 0 and 1: yes
Overall e0 shift used: no
Noise added to data: 0
R-factor = 0.0015255
Chi-square = 0.08968
Reduced chi-square = 0.0004375
.    standard             weight           e0
========================================================
.   BULK175_MnK_LP_Mn3oxalate_DEC21_030_001.xdi  0.310 (0.017)    0.000 (0.000)
.   BULK175_MnK_LP_Franklinite_DEC21_040_001.xdi  0.421 (0.012)    0.000 (0.000)
.   BULK175_MnK_LP_Mn2carbonate_DEC21_036_001.xdi  0.269 (0.012)    0.000 (0.000)
.         sum ........... 1.000</t>
  </si>
  <si>
    <t>LCF fit of 202201_P42_merge as flattened mu(E) from 6519 to 6589
Fit included 206 data points and 2 variables, and approximately 57.866 measurements
Weights sum to 1: yes
Weights forced between 0 and 1: yes
Overall e0 shift used: no
Noise added to data: 0
R-factor = 0.0014847
Chi-square = 0.08889
Reduced chi-square = 0.0004336
.    standard             weight           e0
========================================================
.   BULK175_MnK_LP_Mn3oxalate_DEC21_030_001.xdi  0.261 (0.017)    0.000 (0.000)
.   BULK175_MnK_LP_Franklinite_DEC21_040_001.xdi  0.395 (0.012)    0.000 (0.000)
.   BULK175_MnK_LP_Mn2carbonate_DEC21_036_001.xdi  0.344 (0.012)    0.000 (0.000)
.         sum ........... 1.000</t>
  </si>
  <si>
    <t>LCF fit of 202201_P44_merge as flattened mu(E) from 6519 to 6589
Fit included 206 data points and 2 variables, and approximately 57.866 measurements
Weights sum to 1: yes
Weights forced between 0 and 1: yes
Overall e0 shift used: no
Noise added to data: 0
R-factor = 0.0011414
Chi-square = 0.06815
Reduced chi-square = 0.0003324
.    standard             weight           e0
========================================================
.   BULK175_MnK_LP_Mn3oxalate_DEC21_030_001.xdi  0.329 (0.015)    0.000 (0.000)
.   BULK175_MnK_LP_Franklinite_DEC21_040_001.xdi  0.382 (0.010)    0.000 (0.000)
.   BULK175_MnK_LP_Mn2carbonate_DEC21_036_001.xdi  0.290 (0.011)    0.000 (0.000)
.         sum ........... 1.000</t>
  </si>
  <si>
    <t>LCF fit of 202201_P45_merge as flattened mu(E) from 6519 to 6589
Fit included 206 data points and 2 variables, and approximately 57.866 measurements
Weights sum to 1: yes
Weights forced between 0 and 1: yes
Overall e0 shift used: no
Noise added to data: 0
R-factor = 0.0010432
Chi-square = 0.06383
Reduced chi-square = 0.0003113
.    standard             weight           e0
========================================================
.   BULK175_MnK_LP_Mn3oxalate_DEC21_030_001.xdi  0.281 (0.014)    0.000 (0.000)
.   BULK175_MnK_LP_Franklinite_DEC21_040_001.xdi  0.310 (0.010)    0.000 (0.000)
.   BULK175_MnK_LP_Mn2carbonate_DEC21_036_001.xdi  0.409 (0.010)    0.000 (0.000)
.         sum ........... 1.000</t>
  </si>
  <si>
    <t>LCF fit of 202201_P06_merge as flattened mu(E) from 6519 to 6589
Fit included 206 data points and 2 variables, and approximately 57.866 measurements
Weights sum to 1: yes
Weights forced between 0 and 1: yes
Overall e0 shift used: no
Noise added to data: 0
R-factor = 0.0025518
Chi-square = 0.16388
Reduced chi-square = 0.0007994
.    standard             weight           e0
========================================================
.   mncl2_3.xmu           0.333 (0.010)    0.000 (0.000)
.   Mn32-Hausmannite.dat  0.336 (0.017)    0.000 (0.000)
.   BULK175_MnK_LP_Franklinite_DEC21_040_001.xdi  0.331 (0.031)    0.000 (0.000)
.         sum ........... 1.000</t>
  </si>
  <si>
    <t>LCF fit of 202201_P02_merge as flattened mu(E) from 6519 to 6589
Fit included 206 data points and 2 variables, and approximately 57.866 measurements
Weights sum to 1: yes
Weights forced between 0 and 1: yes
Overall e0 shift used: no
Noise added to data: 0
R-factor = 0.0013966
Chi-square = 0.07814
Reduced chi-square = 0.0003812
.    standard             weight           e0
========================================================
.   mncl2_3.xmu           0.132 (0.007)    0.000 (0.000)
.   BULK175_MnK_LP_Franklinite_DEC21_040_001.xdi  0.148 (0.016)    0.000 (0.000)
.   BULK175_MnK_LP_Lithiophorite_DEC21_038_001.xdi  0.720 (0.009)    0.000 (0.000)
.         sum ........... 1.000</t>
  </si>
  <si>
    <t>LCF fit of 202201_P03_merge as flattened mu(E) from 6519 to 6589
Fit included 206 data points and 2 variables, and approximately 57.866 measurements
Weights sum to 1: yes
Weights forced between 0 and 1: yes
Overall e0 shift used: no
Noise added to data: 0
R-factor = 0.0035762
Chi-square = 0.21624
Reduced chi-square = 0.0010548
.    standard             weight           e0
========================================================
.   BULK175_MnK_LP_Mn3oxalate_DEC21_030_001.xdi  0.113 (0.017)    0.000 (0.000)
.   BULK175_MnK_LP_Franklinite_DEC21_040_001.xdi  0.671 (0.023)    0.000 (0.000)
.   BULK175_MnK_LP_Mn2oxalate_DEC21_033_001.xdi  0.216 (0.028)    0.000 (0.000)
.         sum ........... 1.000</t>
  </si>
  <si>
    <t>LCF fit of 202201_P06_merge as flattened mu(E) from 6519 to 6589
Fit included 206 data points and 2 variables, and approximately 57.866 measurements
Weights sum to 1: yes
Weights forced between 0 and 1: yes
Overall e0 shift used: no
Noise added to data: 0
R-factor = 0.0048930
Chi-square = 0.30078
Reduced chi-square = 0.0014672
.    standard             weight           e0
========================================================
.   BULK175_MnK_LP_Franklinite_DEC21_040_001.xdi  0.676 (0.022)    0.000 (0.000)
.   BULK175_MnK_LP_Mn3acetate_DEC21_029_001.xdi  0.071 (0.039)    0.000 (0.000)
.   BULK175_MnK_LP_Mn2oxalate_DEC21_033_001.xdi  0.253 (0.012)    0.000 (0.000)
.         sum ........... 1.000</t>
  </si>
  <si>
    <t>LCF fit of 202201_P11_merge as flattened mu(E) from 6519 to 6589
Fit included 206 data points and 2 variables, and approximately 57.866 measurements
Weights sum to 1: yes
Weights forced between 0 and 1: yes
Overall e0 shift used: no
Noise added to data: 0
R-factor = 0.0006943
Chi-square = 0.03921
Reduced chi-square = 0.0001913
.    standard             weight           e0
========================================================
.   BULK175_MnK_LP_Mn2oxide_DEC21_031_001.xdi  0.058 (0.006)    0.000 (0.000)
.   BULK175_MnK_LP_Franklinite_DEC21_040_001.xdi  0.224 (0.009)    0.000 (0.000)
.   BULK175_MnK_LP_Lithiophorite_DEC21_038_001.xdi  0.718 (0.024)    0.000 (0.000)
.         sum ........... 1.000</t>
  </si>
  <si>
    <t>LCF fit of 202201_P15_merge as flattened mu(E) from 6519 to 6589
Fit included 206 data points and 2 variables, and approximately 57.866 measurements
Weights sum to 1: yes
Weights forced between 0 and 1: yes
Overall e0 shift used: no
Noise added to data: 0
R-factor = 0.0007916
Chi-square = 0.04428
Reduced chi-square = 0.0002160
.    standard             weight           e0
========================================================
.   BULK175_MnK_LP_Mn3oxalate_DEC21_030_001.xdi  0.193 (0.015)    0.000 (0.000)
.   BULK175_MnK_LP_Franklinite_DEC21_040_001.xdi  0.261 (0.008)    0.000 (0.000)
.   BULK175_MnK_LP_Lithiophorite_DEC21_038_001.xdi  0.546 (0.026)    0.000 (0.000)
.         sum ........... 1.000</t>
  </si>
  <si>
    <t>LCF fit of 202201_P18_merge as flattened mu(E) from 6519 to 6589
Fit included 206 data points and 2 variables, and approximately 57.866 measurements
Weights sum to 1: yes
Weights forced between 0 and 1: yes
Overall e0 shift used: no
Noise added to data: 0
R-factor = 0.0007868
Chi-square = 0.04368
Reduced chi-square = 0.0002131
.    standard             weight           e0
========================================================
.   BULK175_MnK_LP_Mn2oxide_DEC21_031_001.xdi  0.117 (0.034)    0.000 (0.000)
.   Mn4-Ca2Mn3O8.dat      0.256 (0.024)    0.000 (0.000)
.   BULK175_MnK_LP_Lithiophorite_DEC21_038_001.xdi  0.627 (0.025)    0.000 (0.000)
.         sum ........... 1.000</t>
  </si>
  <si>
    <t>LCF fit of 202201_P27_merge as flattened mu(E) from 6519 to 6589
Fit included 206 data points and 2 variables, and approximately 57.866 measurements
Weights sum to 1: yes
Weights forced between 0 and 1: yes
Overall e0 shift used: no
Noise added to data: 0
R-factor = 0.0005925
Chi-square = 0.03339
Reduced chi-square = 0.0001629
.    standard             weight           e0
========================================================
.   BULK175_MnK_LP_Mn3oxalate_DEC21_030_001.xdi  0.225 (0.013)    0.000 (0.000)
.   BULK175_MnK_LP_Franklinite_DEC21_040_001.xdi  0.244 (0.007)    0.000 (0.000)
.   BULK175_MnK_LP_Lithiophorite_DEC21_038_001.xdi  0.531 (0.050)    0.000 (0.000)
.         sum ........... 1.000</t>
  </si>
  <si>
    <t>LCF fit of 202201_P30_merge as flattened mu(E) from 6519 to 6589
Fit included 206 data points and 2 variables, and approximately 57.866 measurements
Weights sum to 1: yes
Weights forced between 0 and 1: yes
Overall e0 shift used: no
Noise added to data: 0
R-factor = 0.0009743
Chi-square = 0.05397
Reduced chi-square = 0.0002633
.    standard             weight           e0
========================================================
.   BULK175_MnK_LP_Mn3oxalate_DEC21_030_001.xdi  0.251 (0.017)    0.000 (0.000)
.   BULK175_MnK_LP_Franklinite_DEC21_040_001.xdi  0.249 (0.009)    0.000 (0.000)
.   BULK175_MnK_LP_Lithiophorite_DEC21_038_001.xdi  0.500 (0.020)    0.000 (0.000)
.         sum ........... 1.000</t>
  </si>
  <si>
    <t>LCF fit of 202201_P32_merge as flattened mu(E) from 6519 to 6589
Fit included 206 data points and 2 variables, and approximately 57.866 measurements
Weights sum to 1: yes
Weights forced between 0 and 1: yes
Overall e0 shift used: no
Noise added to data: 0
R-factor = 0.0019097
Chi-square = 0.10562
Reduced chi-square = 0.0005152
.    standard             weight           e0
========================================================
.   BULK175_MnK_LP_Mn3oxalate_DEC21_030_001.xdi  0.347 (0.020)    0.000 (0.000)
.   BULK175_MnK_LP_Franklinite_DEC21_040_001.xdi  0.484 (0.012)    0.000 (0.000)
.   BULK175_MnK_LP_Lithiophorite_DEC21_038_001.xdi  0.170 (0.016)    0.000 (0.000)
.         sum ........... 1.000</t>
  </si>
  <si>
    <t>LCF fit of 202201_P33_merge as flattened mu(E) from 6519 to 6589
Fit included 206 data points and 2 variables, and approximately 57.866 measurements
Weights sum to 1: yes
Weights forced between 0 and 1: yes
Overall e0 shift used: no
Noise added to data: 0
R-factor = 0.0014763
Chi-square = 0.08180
Reduced chi-square = 0.0003990
.    standard             weight           e0
========================================================
.   BULK175_MnK_LP_Franklinite_DEC21_040_001.xdi  0.316 (0.015)    0.000 (0.000)
.   BULK175_MnK_LP_Lithiophorite_DEC21_038_001.xdi  0.554 (0.008)    0.000 (0.000)
.   BULK175_MnK_LP_Mn2oxalate_DEC21_033_001.xdi  0.130 (0.035)    0.000 (0.000)
.         sum ........... 1.000</t>
  </si>
  <si>
    <t>LCF fit of 202201_P36_merge as flattened mu(E) from 6519 to 6589
Fit included 206 data points and 2 variables, and approximately 57.866 measurements
Weights sum to 1: yes
Weights forced between 0 and 1: yes
Overall e0 shift used: no
Noise added to data: 0
R-factor = 0.0010003
Chi-square = 0.05526
Reduced chi-square = 0.0002696
.    standard             weight           e0
========================================================
.   BULK175_MnK_LP_Mn3oxalate_DEC21_030_001.xdi  0.278 (0.015)    0.000 (0.000)
.   BULK175_MnK_LP_Franklinite_DEC21_040_001.xdi  0.324 (0.009)    0.000 (0.000)
.   BULK175_MnK_LP_Lithiophorite_DEC21_038_001.xdi  0.398 (0.012)    0.000 (0.000)
.         sum ........... 1.000</t>
  </si>
  <si>
    <t>LCF fit of 202201_P39_merge as flattened mu(E) from 6519 to 6589
Fit included 206 data points and 2 variables, and approximately 57.866 measurements
Weights sum to 1: yes
Weights forced between 0 and 1: yes
Overall e0 shift used: no
Noise added to data: 0
R-factor = 0.0012446
Chi-square = 0.06858
Reduced chi-square = 0.0003345
.    standard             weight           e0
========================================================
.   Mn4-Ca2Mn3O8.dat      0.288 (0.032)    0.000 (0.000)
.   BULK175_MnK_LP_Mn3oxalate_DEC21_030_001.xdi  0.312 (0.019)    0.000 (0.000)
.   BULK175_MnK_LP_Franklinite_DEC21_040_001.xdi  0.400 (0.010)    0.000 (0.000)
.         sum ........... 1.000</t>
  </si>
  <si>
    <t>LCF fit of 202201_P42_merge as flattened mu(E) from 6519 to 6589
Fit included 206 data points and 2 variables, and approximately 57.866 measurements
Weights sum to 1: yes
Weights forced between 0 and 1: yes
Overall e0 shift used: no
Noise added to data: 0
R-factor = 0.0006562
Chi-square = 0.03686
Reduced chi-square = 0.0001798
.    standard             weight           e0
========================================================
.   BULK175_MnK_LP_Mn3oxalate_DEC21_030_001.xdi  0.296 (0.050)    0.000 (0.000)
.   BULK175_MnK_LP_Franklinite_DEC21_040_001.xdi  0.333 (0.007)    0.000 (0.000)
.   BULK175_MnK_LP_Lithiophorite_DEC21_038_001.xdi  0.372 (0.009)    0.000 (0.000)
.         sum ........... 1.000</t>
  </si>
  <si>
    <t>LCF fit of 202201_P44_merge as flattened mu(E) from 6519 to 6589
Fit included 206 data points and 2 variables, and approximately 57.866 measurements
Weights sum to 1: yes
Weights forced between 0 and 1: yes
Overall e0 shift used: no
Noise added to data: 0
R-factor = 0.0007497
Chi-square = 0.04177
Reduced chi-square = 0.0002037
.    standard             weight           e0
========================================================
.   BULK175_MnK_LP_Mn3oxalate_DEC21_030_001.xdi  0.335 (0.031)    0.000 (0.000)
.   BULK175_MnK_LP_Franklinite_DEC21_040_001.xdi  0.341 (0.008)    0.000 (0.000)
.   BULK175_MnK_LP_Lithiophorite_DEC21_038_001.xdi  0.325 (0.010)    0.000 (0.000)
.         sum ........... 1.000</t>
  </si>
  <si>
    <t>LCF fit of 202201_P45_merge as flattened mu(E) from 6519 to 6589
Fit included 206 data points and 2 variables, and approximately 57.866 measurements
Weights sum to 1: yes
Weights forced between 0 and 1: yes
Overall e0 shift used: no
Noise added to data: 0
R-factor = 0.0010518
Chi-square = 0.05875
Reduced chi-square = 0.0002866
.    standard             weight           e0
========================================================
.   BULK175_MnK_LP_Franklinite_DEC21_040_001.xdi  0.289 (0.009)    0.000 (0.000)
.   Mn4-Ca2Mn3O8.dat      0.406 (0.011)    0.000 (0.000)
.   BULK175_MnK_LP_Mn3oxalate_DEC21_030_001.xdi  0.305 (0.015)    0.000 (0.000)
.         sum ........... 1.000</t>
  </si>
  <si>
    <t>R-factor</t>
  </si>
  <si>
    <t>Reduced Chi-sq</t>
  </si>
  <si>
    <t>Reference</t>
  </si>
  <si>
    <t>Weight</t>
  </si>
  <si>
    <t>Mn Composition</t>
  </si>
  <si>
    <t>Mn2+</t>
  </si>
  <si>
    <t>Mn2+/3+</t>
  </si>
  <si>
    <t>Mn3+</t>
  </si>
  <si>
    <t>Mn3+/4+</t>
  </si>
  <si>
    <t>Mn4+</t>
  </si>
  <si>
    <t>franklinite</t>
  </si>
  <si>
    <t>References used</t>
  </si>
  <si>
    <t>lithiophorite</t>
  </si>
  <si>
    <t>rhodochrosite</t>
  </si>
  <si>
    <t>mn2oxide</t>
  </si>
  <si>
    <t>mn2oxalate</t>
  </si>
  <si>
    <t>mncl2</t>
  </si>
  <si>
    <t>mn3 acetate</t>
  </si>
  <si>
    <t>mn3 oxlate</t>
  </si>
  <si>
    <t>mn4 oxide</t>
  </si>
  <si>
    <t>mn4 ca2mn3o8</t>
  </si>
  <si>
    <t>hausmannite</t>
  </si>
  <si>
    <t>groutite</t>
  </si>
  <si>
    <t>ramsdellite</t>
  </si>
  <si>
    <t>mn3 oxalate</t>
  </si>
  <si>
    <t>LCF fit of 202201_P02_merge as flattened mu(E) from 6519 to 6589
Fit included 206 data points and 2 variables, and approximately 57.866 measurements
Weights sum to 1: yes
Weights forced between 0 and 1: yes
Overall e0 shift used: no
Noise added to data: 0
R-factor = 0.0016549
Chi-square = 0.09259
Reduced chi-square = 0.0004517
.    standard             weight           e0
========================================================
.   BULK175_MnK_LP_Mn4oxide_DEC21_032_001.xdi  0.274 (0.087)    0.000 (0.000)
.   Mn4-Ca2Mn3O8.dat      0.549 (0.019)    0.000 (0.000)
.   BULK175_MnK_LP_Rhodo_DEC21_035_001.xdi  0.177 (0.004)    0.000 (0.000)
.         sum ........... 1.000</t>
  </si>
  <si>
    <t>LCF fit of 202201_P03_merge as flattened mu(E) from 6519 to 6589
Fit included 206 data points and 2 variables, and approximately 57.866 measurements
Weights sum to 1: yes
Weights forced between 0 and 1: yes
Overall e0 shift used: no
Noise added to data: 0
R-factor = 0.0033715
Chi-square = 0.20386
Reduced chi-square = 0.0009944
.    standard             weight           e0
========================================================
.   Mn32-Hausmannite.dat  0.402 (0.025)    0.000 (0.000)
.   mncl2_3.xmu           0.237 (0.010)    0.000 (0.000)
.   BULK175_MnK_LP_Franklinite_DEC21_040_001.xdi  0.361 (0.023)    0.000 (0.000)
.         sum ........... 1.000</t>
  </si>
  <si>
    <t>LCF fit of 202201_P06_merge as flattened mu(E) from 6519 to 6589
Fit included 206 data points and 2 variables, and approximately 57.866 measurements
Weights sum to 1: yes
Weights forced between 0 and 1: yes
Overall e0 shift used: no
Noise added to data: 0
R-factor = 0.0032398
Chi-square = 0.19915
Reduced chi-square = 0.0009715
.    standard             weight           e0
========================================================
.   Mn32-Hausmannite.dat  0.418 (0.017)    0.000 (0.000)
.   mncl2_3.xmu           0.286 (0.030)    0.000 (0.000)
.   BULK175_MnK_LP_Franklinite_DEC21_040_001.xdi  0.296 (0.023)    0.000 (0.000)
.         sum ........... 1.000</t>
  </si>
  <si>
    <t>LCF fit of 202201_P11_merge as flattened mu(E) from 6519 to 6589
Fit included 206 data points and 2 variables, and approximately 57.866 measurements
Weights sum to 1: yes
Weights forced between 0 and 1: yes
Overall e0 shift used: no
Noise added to data: 0
R-factor = 0.0013117
Chi-square = 0.07407
Reduced chi-square = 0.0003613
.    standard             weight           e0
========================================================
.   BULK175_MnK_LP_Mn4oxide_DEC21_032_001.xdi  0.245 (0.037)    0.000 (0.000)
.   BULK175_MnK_LP_Franklinite_DEC21_040_001.xdi  0.222 (0.008)    0.000 (0.000)
.   BULK175_MnK_LP_Lithiophorite_DEC21_038_001.xdi  0.533 (0.024)    0.000 (0.000)
.         sum ........... 1.000</t>
  </si>
  <si>
    <t>LCF fit of 202201_P15_merge as flattened mu(E) from 6519 to 6589
Fit included 206 data points and 2 variables, and approximately 57.866 measurements
Weights sum to 1: yes
Weights forced between 0 and 1: yes
Overall e0 shift used: no
Noise added to data: 0
R-factor = 0.0014931
Chi-square = 0.08351
Reduced chi-square = 0.0004074
.    standard             weight           e0
========================================================
.   BULK175_MnK_LP_Mn4oxide_DEC21_032_001.xdi  0.236 (0.045)    0.000 (0.000)
.   BULK175_MnK_LP_Franklinite_DEC21_040_001.xdi  0.256 (0.008)    0.000 (0.000)
.   BULK175_MnK_LP_Lithiophorite_DEC21_038_001.xdi  0.508 (0.025)    0.000 (0.000)
.         sum ........... 1.000</t>
  </si>
  <si>
    <t>LCF fit of 202201_P18_merge as flattened mu(E) from 6519 to 6589
Fit included 206 data points and 2 variables, and approximately 57.866 measurements
Weights sum to 1: yes
Weights forced between 0 and 1: yes
Overall e0 shift used: no
Noise added to data: 0
R-factor = 0.0019658
Chi-square = 0.10913
Reduced chi-square = 0.0005323
.    standard             weight           e0
========================================================
.   BULK175_MnK_LP_Mn4oxide_DEC21_032_001.xdi  0.454 (0.022)    0.000 (0.000)
.   BULK175_MnK_LP_Franklinite_DEC21_040_001.xdi  0.141 (0.010)    0.000 (0.000)
.   BULK175_MnK_LP_Lithiophorite_DEC21_038_001.xdi  0.404 (0.078)    0.000 (0.000)
.         sum ........... 1.000</t>
  </si>
  <si>
    <t>LCF fit of 202201_P27_merge as flattened mu(E) from 6519 to 6589
Fit included 206 data points and 2 variables, and approximately 57.866 measurements
Weights sum to 1: yes
Weights forced between 0 and 1: yes
Overall e0 shift used: no
Noise added to data: 0
R-factor = 0.0013548
Chi-square = 0.07634
Reduced chi-square = 0.0003724
.    standard             weight           e0
========================================================
.   BULK175_MnK_LP_Mn4oxide_DEC21_032_001.xdi  0.178 (0.044)    0.000 (0.000)
.   BULK175_MnK_LP_Franklinite_DEC21_040_001.xdi  0.235 (0.008)    0.000 (0.000)
.   BULK175_MnK_LP_Lithiophorite_DEC21_038_001.xdi  0.587 (0.024)    0.000 (0.000)
.         sum ........... 1.000</t>
  </si>
  <si>
    <t>LCF fit of 202201_P30_merge as flattened mu(E) from 6519 to 6589
Fit included 206 data points and 2 variables, and approximately 57.866 measurements
Weights sum to 1: yes
Weights forced between 0 and 1: yes
Overall e0 shift used: no
Noise added to data: 0
R-factor = 0.0018812
Chi-square = 0.10421
Reduced chi-square = 0.0005083
.    standard             weight           e0
========================================================
.   BULK175_MnK_LP_Mn4oxide_DEC21_032_001.xdi  0.244 (0.021)    0.000 (0.000)
.   BULK175_MnK_LP_Franklinite_DEC21_040_001.xdi  0.271 (0.041)    0.000 (0.000)
.   BULK175_MnK_LP_Lithiophorite_DEC21_038_001.xdi  0.485 (0.028)    0.000 (0.000)
.         sum ........... 1.000</t>
  </si>
  <si>
    <t>LCF fit of 202201_P32_merge as flattened mu(E) from 6519 to 6589
Fit included 206 data points and 2 variables, and approximately 57.866 measurements
Weights sum to 1: yes
Weights forced between 0 and 1: yes
Overall e0 shift used: no
Noise added to data: 0
R-factor = 0.0016712
Chi-square = 0.09243
Reduced chi-square = 0.0004509
.    standard             weight           e0
========================================================
.   Mn4-Ramsdellite.dat   0.352 (0.014)    0.000 (0.000)
.   BULK175_MnK_LP_Mn3oxalate_DEC21_030_001.xdi  0.495 (0.016)    0.000 (0.000)
.   BULK175_MnK_LP_Rhodo_DEC21_035_001.xdi  0.152 (0.022)    0.000 (0.000)
.         sum ........... 1.000</t>
  </si>
  <si>
    <t>LCF fit of 202201_P33_merge as flattened mu(E) from 6519 to 6589
Fit included 206 data points and 2 variables, and approximately 57.866 measurements
Weights sum to 1: yes
Weights forced between 0 and 1: yes
Overall e0 shift used: no
Noise added to data: 0
R-factor = 0.0010258
Chi-square = 0.00356
Reduced chi-square = 0.0035620
.    standard             weight           e0
========================================================
.   Mn4-Ramsdellite.dat   0.466 (0.006)    0.000 (0.000)
.   BULK175_MnK_LP_Mn3oxalate_DEC21_030_001.xdi  0.384 (0.004)    0.000 (0.000)
.   BULK175_MnK_LP_Rhodo_DEC21_035_001.xdi  0.149 (0.004)    0.000 (0.000)
.         sum ........... 1.000</t>
  </si>
  <si>
    <t>LCF fit of 202201_P36_merge as flattened mu(E) from 6519 to 6589
Fit included 206 data points and 2 variables, and approximately 57.866 measurements
Weights sum to 1: yes
Weights forced between 0 and 1: yes
Overall e0 shift used: no
Noise added to data: 0
R-factor = 0.0016516
Chi-square = 0.09124
Reduced chi-square = 0.0004451
.    standard             weight           e0
========================================================
.   BULK175_MnK_LP_Mn3oxalate_DEC21_030_001.xdi  0.359 (0.043)    0.000 (0.000)
.   Mn4-Ramsdellite.dat   0.544 (0.013)    0.000 (0.000)
.   BULK175_MnK_LP_Rhodo_DEC21_035_001.xdi  0.098 (0.005)    0.000 (0.000)
.         sum ........... 1.000</t>
  </si>
  <si>
    <t>LCF fit of 202201_P39_merge as flattened mu(E) from 6519 to 6589
Fit included 206 data points and 2 variables, and approximately 57.866 measurements
Weights sum to 1: yes
Weights forced between 0 and 1: yes
Overall e0 shift used: no
Noise added to data: 0
R-factor = 0.0017178
Chi-square = 0.09465
Reduced chi-square = 0.0004617
.    standard             weight           e0
========================================================
.   BULK175_MnK_LP_Mn3oxalate_DEC21_030_001.xdi  0.415 (0.017)    0.000 (0.000)
.   Mn4-Ramsdellite.dat   0.471 (0.014)    0.000 (0.000)
.   BULK175_MnK_LP_Rhodo_DEC21_035_001.xdi  0.114 (0.023)    0.000 (0.000)
.         sum ........... 1.000</t>
  </si>
  <si>
    <t>LCF fit of 202201_P42_merge as flattened mu(E) from 6519 to 6589
Fit included 206 data points and 2 variables, and approximately 57.866 measurements
Weights sum to 1: yes
Weights forced between 0 and 1: yes
Overall e0 shift used: no
Noise added to data: 0
R-factor = 0.0010123
Chi-square = 0.05686
Reduced chi-square = 0.0002774
.    standard             weight           e0
========================================================
.   BULK175_MnK_LP_Mn3oxalate_DEC21_030_001.xdi  0.375 (0.013)    0.000 (0.000)
.   Mn4-Ramsdellite.dat   0.526 (0.011)    0.000 (0.000)
.   BULK175_MnK_LP_Rhodo_DEC21_035_001.xdi  0.100 (0.019)    0.000 (0.000)
.         sum ........... 1.000</t>
  </si>
  <si>
    <t>LCF fit of 202201_P44_merge as flattened mu(E) from 6519 to 6589
Fit included 206 data points and 2 variables, and approximately 57.866 measurements
Weights sum to 1: yes
Weights forced between 0 and 1: yes
Overall e0 shift used: no
Noise added to data: 0
R-factor = 0.0011087
Chi-square = 0.06177
Reduced chi-square = 0.0003013
.    standard             weight           e0
========================================================
.   BULK175_MnK_LP_Mn3oxalate_DEC21_030_001.xdi  0.417 (0.013)    0.000 (0.000)
.   Mn4-Ramsdellite.dat   0.482 (0.011)    0.000 (0.000)
.   BULK175_MnK_LP_Rhodo_DEC21_035_001.xdi  0.102 (0.018)    0.000 (0.000)
.         sum ........... 1.000</t>
  </si>
  <si>
    <t>LCF fit of 202201_P45_merge as flattened mu(E) from 6519 to 6589
Fit included 206 data points and 2 variables, and approximately 57.866 measurements
Weights sum to 1: yes
Weights forced between 0 and 1: yes
Overall e0 shift used: no
Noise added to data: 0
R-factor = 0.0012606
Chi-square = 0.07041
Reduced chi-square = 0.0003435
.    standard             weight           e0
========================================================
.   BULK175_MnK_LP_Mn3oxalate_DEC21_030_001.xdi  0.335 (0.014)    0.000 (0.000)
.   Mn4-Ramsdellite.dat   0.589 (0.012)    0.000 (0.000)
.   BULK175_MnK_LP_Rhodo_DEC21_035_001.xdi  0.076 (0.044)    0.000 (0.000)
.         sum ........... 1.000</t>
  </si>
  <si>
    <t>LCF fit of 202201_P03_merge as flattened mu(E) from 6519 to 6589
Fit included 206 data points and 2 variables, and approximately 57.866 measurements
Weights sum to 1: yes
Weights forced between 0 and 1: yes
Overall e0 shift used: no
Noise added to data: 0
R-factor = 0.0045632
Chi-square = 0.27592
Reduced chi-square = 0.0013459
.    standard             weight           e0
========================================================
.   Mn3-Feitknechtite.dat  0.722 (0.008)    0.000 (0.000)
.   BULK175_MnK_LP_Rhodo_DEC21_035_001.xdi  0.158 (0.022)    0.000 (0.000)
.   mncl2_3.xmu           0.120 (0.018)    0.000 (0.000)
.         sum ........... 1.000</t>
  </si>
  <si>
    <t>LCF fit of 202201_P06_merge as flattened mu(E) from 6519 to 6589
Fit included 206 data points and 2 variables, and approximately 57.866 measurements
Weights sum to 1: yes
Weights forced between 0 and 1: yes
Overall e0 shift used: no
Noise added to data: 0
R-factor = 0.0045611
Chi-square = 0.28036
Reduced chi-square = 0.0013676
.    standard             weight           e0
========================================================
.   Mn3-Feitknechtite.dat  0.688 (0.024)    0.000 (0.000)
.   BULK175_MnK_LP_Rhodo_DEC21_035_001.xdi  0.134 (0.015)    0.000 (0.000)
.   mncl2_3.xmu           0.178 (0.018)    0.000 (0.000)
.         sum ........... 1.000</t>
  </si>
  <si>
    <t>LCF fit of 202201_P11_merge as flattened mu(E) from 6519 to 6589
Fit included 206 data points and 2 variables, and approximately 57.866 measurements
Weights sum to 1: yes
Weights forced between 0 and 1: yes
Overall e0 shift used: no
Noise added to data: 0
R-factor = 0.0015302
Chi-square = 0.08638
Reduced chi-square = 0.0004214
.    standard             weight           e0
========================================================
.   BULK175_MnK_LP_Mn3oxalate_DEC21_030_001.xdi  0.192 (0.014)    0.000 (0.000)
.   Mn4-Ramsdellite.dat   0.731 (0.013)    0.000 (0.000)
.   BULK175_MnK_LP_Rhodo_DEC21_035_001.xdi  0.077 (0.004)    0.000 (0.000)
.         sum ........... 1.000</t>
  </si>
  <si>
    <t>LCF fit of 202201_P15_merge as flattened mu(E) from 6519 to 6589
Fit included 206 data points and 2 variables, and approximately 57.866 measurements
Weights sum to 1: yes
Weights forced between 0 and 1: yes
Overall e0 shift used: no
Noise added to data: 0
R-factor = 0.0015668
Chi-square = 0.08763
Reduced chi-square = 0.0004275
.    standard             weight           e0
========================================================
.   BULK175_MnK_LP_Mn3oxalate_DEC21_030_001.xdi  0.246 (0.035)    0.000 (0.000)
.   Mn4-Ramsdellite.dat   0.674 (0.013)    0.000 (0.000)
.   BULK175_MnK_LP_Rhodo_DEC21_035_001.xdi  0.080 (0.004)    0.000 (0.000)
.         sum ........... 1.000</t>
  </si>
  <si>
    <t>LCF fit of 202201_P18_merge as flattened mu(E) from 6519 to 6589
Fit included 206 data points and 2 variables, and approximately 57.866 measurements
Weights sum to 1: yes
Weights forced between 0 and 1: yes
Overall e0 shift used: no
Noise added to data: 0
R-factor = 0.0048720
Chi-square = 0.27046
Reduced chi-square = 0.0013193
.    standard             weight           e0
========================================================
.   BULK175_MnK_LP_Mn3oxalate_DEC21_030_001.xdi  0.119 (0.028)    0.000 (0.000)
.   Mn4-Ramsdellite.dat   0.850 (0.023)    0.000 (0.000)
.   BULK175_MnK_LP_Rhodo_DEC21_035_001.xdi  0.031 (0.064)    0.000 (0.000)
.         sum ........... 1.000</t>
  </si>
  <si>
    <t>LCF fit of 202201_P27_merge as flattened mu(E) from 6519 to 6589
Fit included 206 data points and 2 variables, and approximately 57.866 measurements
Weights sum to 1: yes
Weights forced between 0 and 1: yes
Overall e0 shift used: no
Noise added to data: 0
R-factor = 0.0011839
Chi-square = 0.01400
Reduced chi-square = 0.0140050
.    standard             weight           e0
========================================================
.   BULK175_MnK_LP_Mn3oxalate_DEC21_030_001.xdi  0.264 (0.014)    0.000 (0.000)
.   Mn4-Ramsdellite.dat   0.662 (0.024)    0.000 (0.000)
.   BULK175_MnK_LP_Rhodo_DEC21_035_001.xdi  0.074 (0.014)    0.000 (0.000)
.         sum ........... 1.000</t>
  </si>
  <si>
    <t>LCF fit of 202201_P30_merge as flattened mu(E) from 6519 to 6589
Fit included 206 data points and 2 variables, and approximately 57.866 measurements
Weights sum to 1: yes
Weights forced between 0 and 1: yes
Overall e0 shift used: no
Noise added to data: 0
R-factor = 0.0017862
Chi-square = 0.09894
Reduced chi-square = 0.0004827
.    standard             weight           e0
========================================================
.   BULK175_MnK_LP_Rhodo_DEC21_035_001.xdi  0.076 (0.005)    0.000 (0.000)
.   BULK175_MnK_LP_Mn3oxalate_DEC21_030_001.xdi  0.292 (0.017)    0.000 (0.000)
.   Mn4-Ramsdellite.dat   0.631 (0.046)    0.000 (0.000)
.         sum ........... 1.000</t>
  </si>
  <si>
    <t xml:space="preserve">Note: right column reflects reanalyses to exclude transition minerals to limit results to Mn2+, 3+, and 4+ </t>
  </si>
  <si>
    <t>Mn Comp</t>
  </si>
  <si>
    <t>Site</t>
  </si>
  <si>
    <t>MAP</t>
  </si>
  <si>
    <t>Mn3-Feitknechtite.dat</t>
  </si>
  <si>
    <t>BULK175_MnK_LP_Rhodo_DEC21_035_001.xdi</t>
  </si>
  <si>
    <t>mncl2_3.xmu</t>
  </si>
  <si>
    <t>Sum</t>
  </si>
  <si>
    <t>Percentage</t>
  </si>
  <si>
    <t>BULK175_MnK_LP_Mn3oxalate_DEC21_030_001.xdi</t>
  </si>
  <si>
    <t>Mn4-Ramsdellite.dat</t>
  </si>
  <si>
    <t>Standard</t>
  </si>
  <si>
    <t>BULK175_MnK_LP_Mn4oxide_DEC21_032_001.xdi</t>
  </si>
  <si>
    <t>Mn4-Ca2Mn3O8.dat</t>
  </si>
  <si>
    <t>Number</t>
  </si>
  <si>
    <t>ABC</t>
  </si>
  <si>
    <t>a</t>
  </si>
  <si>
    <t>b</t>
  </si>
  <si>
    <t>c</t>
  </si>
  <si>
    <t>excluded</t>
  </si>
  <si>
    <t>d</t>
  </si>
  <si>
    <t>e</t>
  </si>
  <si>
    <t>f</t>
  </si>
  <si>
    <t>feitknechtite</t>
  </si>
  <si>
    <t>g</t>
  </si>
  <si>
    <t>h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</si>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</sst>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2"/>
          <c:order val="0"/>
          <c:tx>
            <c:strRef>
              <c:f>redo_20220617_234!$BB$1</c:f>
              <c:strCache>
                <c:ptCount val="1"/>
                <c:pt idx="0">
                  <c:v>Mn2+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redo_20220617_234!$BA$2:$BA$16</c:f>
              <c:numCache>
                <c:formatCode>0</c:formatCode>
                <c:ptCount val="15"/>
                <c:pt idx="0">
                  <c:v>3123.3532714799999</c:v>
                </c:pt>
                <c:pt idx="1">
                  <c:v>3018.20703125</c:v>
                </c:pt>
                <c:pt idx="2">
                  <c:v>2686.2336425799999</c:v>
                </c:pt>
                <c:pt idx="3">
                  <c:v>2176.1313476599998</c:v>
                </c:pt>
                <c:pt idx="4">
                  <c:v>1902.74255371</c:v>
                </c:pt>
                <c:pt idx="5">
                  <c:v>1710.6140136700001</c:v>
                </c:pt>
                <c:pt idx="6">
                  <c:v>995.80053710899995</c:v>
                </c:pt>
                <c:pt idx="7">
                  <c:v>887.72674560500002</c:v>
                </c:pt>
                <c:pt idx="8">
                  <c:v>995.80053710899995</c:v>
                </c:pt>
                <c:pt idx="9">
                  <c:v>954.46228027300003</c:v>
                </c:pt>
                <c:pt idx="10">
                  <c:v>821.85357666000004</c:v>
                </c:pt>
                <c:pt idx="11">
                  <c:v>436.990478516</c:v>
                </c:pt>
                <c:pt idx="12">
                  <c:v>343.36782836899999</c:v>
                </c:pt>
                <c:pt idx="13">
                  <c:v>303.63504028300002</c:v>
                </c:pt>
                <c:pt idx="14">
                  <c:v>284.71322631800001</c:v>
                </c:pt>
              </c:numCache>
            </c:numRef>
          </c:cat>
          <c:val>
            <c:numRef>
              <c:f>redo_20220617_234!$BB$2:$BB$16</c:f>
              <c:numCache>
                <c:formatCode>0.0</c:formatCode>
                <c:ptCount val="15"/>
                <c:pt idx="0">
                  <c:v>17.7</c:v>
                </c:pt>
                <c:pt idx="1">
                  <c:v>27.800000000000004</c:v>
                </c:pt>
                <c:pt idx="2">
                  <c:v>31.2</c:v>
                </c:pt>
                <c:pt idx="3">
                  <c:v>7.7</c:v>
                </c:pt>
                <c:pt idx="4">
                  <c:v>8</c:v>
                </c:pt>
                <c:pt idx="5">
                  <c:v>3.1</c:v>
                </c:pt>
                <c:pt idx="6">
                  <c:v>7.3999999999999995</c:v>
                </c:pt>
                <c:pt idx="7">
                  <c:v>7.6076076076076067</c:v>
                </c:pt>
                <c:pt idx="8">
                  <c:v>15.215215215215213</c:v>
                </c:pt>
                <c:pt idx="9">
                  <c:v>14.914914914914911</c:v>
                </c:pt>
                <c:pt idx="10">
                  <c:v>9.7902097902097882</c:v>
                </c:pt>
                <c:pt idx="11">
                  <c:v>11.400000000000002</c:v>
                </c:pt>
                <c:pt idx="12">
                  <c:v>9.9900099900099892</c:v>
                </c:pt>
                <c:pt idx="13">
                  <c:v>10.189810189810187</c:v>
                </c:pt>
                <c:pt idx="14">
                  <c:v>7.6000000000000014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78-44E3-83AE-66C5263F4CEF}"/>
            </c:ext>
          </c:extLst>
        </c:ser>
        <c:ser>
          <c:idx val="3"/>
          <c:order val="1"/>
          <c:tx>
            <c:strRef>
              <c:f>redo_20220617_234!$BC$1</c:f>
              <c:strCache>
                <c:ptCount val="1"/>
                <c:pt idx="0">
                  <c:v>Mn3+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redo_20220617_234!$BA$2:$BA$16</c:f>
              <c:numCache>
                <c:formatCode>0</c:formatCode>
                <c:ptCount val="15"/>
                <c:pt idx="0">
                  <c:v>3123.3532714799999</c:v>
                </c:pt>
                <c:pt idx="1">
                  <c:v>3018.20703125</c:v>
                </c:pt>
                <c:pt idx="2">
                  <c:v>2686.2336425799999</c:v>
                </c:pt>
                <c:pt idx="3">
                  <c:v>2176.1313476599998</c:v>
                </c:pt>
                <c:pt idx="4">
                  <c:v>1902.74255371</c:v>
                </c:pt>
                <c:pt idx="5">
                  <c:v>1710.6140136700001</c:v>
                </c:pt>
                <c:pt idx="6">
                  <c:v>995.80053710899995</c:v>
                </c:pt>
                <c:pt idx="7">
                  <c:v>887.72674560500002</c:v>
                </c:pt>
                <c:pt idx="8">
                  <c:v>995.80053710899995</c:v>
                </c:pt>
                <c:pt idx="9">
                  <c:v>954.46228027300003</c:v>
                </c:pt>
                <c:pt idx="10">
                  <c:v>821.85357666000004</c:v>
                </c:pt>
                <c:pt idx="11">
                  <c:v>436.990478516</c:v>
                </c:pt>
                <c:pt idx="12">
                  <c:v>343.36782836899999</c:v>
                </c:pt>
                <c:pt idx="13">
                  <c:v>303.63504028300002</c:v>
                </c:pt>
                <c:pt idx="14">
                  <c:v>284.71322631800001</c:v>
                </c:pt>
              </c:numCache>
            </c:numRef>
          </c:cat>
          <c:val>
            <c:numRef>
              <c:f>redo_20220617_234!$BC$2:$BC$16</c:f>
              <c:numCache>
                <c:formatCode>0.0</c:formatCode>
                <c:ptCount val="15"/>
                <c:pt idx="0">
                  <c:v>0</c:v>
                </c:pt>
                <c:pt idx="1">
                  <c:v>72.2</c:v>
                </c:pt>
                <c:pt idx="2">
                  <c:v>68.8</c:v>
                </c:pt>
                <c:pt idx="3">
                  <c:v>19.2</c:v>
                </c:pt>
                <c:pt idx="4">
                  <c:v>24.6</c:v>
                </c:pt>
                <c:pt idx="5">
                  <c:v>11.899999999999999</c:v>
                </c:pt>
                <c:pt idx="6">
                  <c:v>26.400000000000002</c:v>
                </c:pt>
                <c:pt idx="7">
                  <c:v>29.2</c:v>
                </c:pt>
                <c:pt idx="8">
                  <c:v>49.5</c:v>
                </c:pt>
                <c:pt idx="9">
                  <c:v>38.4</c:v>
                </c:pt>
                <c:pt idx="10">
                  <c:v>35.9</c:v>
                </c:pt>
                <c:pt idx="11">
                  <c:v>41.5</c:v>
                </c:pt>
                <c:pt idx="12">
                  <c:v>37.5</c:v>
                </c:pt>
                <c:pt idx="13">
                  <c:v>41.699999999999996</c:v>
                </c:pt>
                <c:pt idx="14">
                  <c:v>33.5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78-44E3-83AE-66C5263F4CEF}"/>
            </c:ext>
          </c:extLst>
        </c:ser>
        <c:ser>
          <c:idx val="4"/>
          <c:order val="2"/>
          <c:tx>
            <c:strRef>
              <c:f>redo_20220617_234!$BD$1</c:f>
              <c:strCache>
                <c:ptCount val="1"/>
                <c:pt idx="0">
                  <c:v>Mn4+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redo_20220617_234!$BA$2:$BA$16</c:f>
              <c:numCache>
                <c:formatCode>0</c:formatCode>
                <c:ptCount val="15"/>
                <c:pt idx="0">
                  <c:v>3123.3532714799999</c:v>
                </c:pt>
                <c:pt idx="1">
                  <c:v>3018.20703125</c:v>
                </c:pt>
                <c:pt idx="2">
                  <c:v>2686.2336425799999</c:v>
                </c:pt>
                <c:pt idx="3">
                  <c:v>2176.1313476599998</c:v>
                </c:pt>
                <c:pt idx="4">
                  <c:v>1902.74255371</c:v>
                </c:pt>
                <c:pt idx="5">
                  <c:v>1710.6140136700001</c:v>
                </c:pt>
                <c:pt idx="6">
                  <c:v>995.80053710899995</c:v>
                </c:pt>
                <c:pt idx="7">
                  <c:v>887.72674560500002</c:v>
                </c:pt>
                <c:pt idx="8">
                  <c:v>995.80053710899995</c:v>
                </c:pt>
                <c:pt idx="9">
                  <c:v>954.46228027300003</c:v>
                </c:pt>
                <c:pt idx="10">
                  <c:v>821.85357666000004</c:v>
                </c:pt>
                <c:pt idx="11">
                  <c:v>436.990478516</c:v>
                </c:pt>
                <c:pt idx="12">
                  <c:v>343.36782836899999</c:v>
                </c:pt>
                <c:pt idx="13">
                  <c:v>303.63504028300002</c:v>
                </c:pt>
                <c:pt idx="14">
                  <c:v>284.71322631800001</c:v>
                </c:pt>
              </c:numCache>
            </c:numRef>
          </c:cat>
          <c:val>
            <c:numRef>
              <c:f>redo_20220617_234!$BD$2:$BD$16</c:f>
              <c:numCache>
                <c:formatCode>0.0</c:formatCode>
                <c:ptCount val="15"/>
                <c:pt idx="0">
                  <c:v>82.300000000000011</c:v>
                </c:pt>
                <c:pt idx="1">
                  <c:v>0</c:v>
                </c:pt>
                <c:pt idx="2">
                  <c:v>0</c:v>
                </c:pt>
                <c:pt idx="3">
                  <c:v>73.099999999999994</c:v>
                </c:pt>
                <c:pt idx="4">
                  <c:v>67.400000000000006</c:v>
                </c:pt>
                <c:pt idx="5">
                  <c:v>85</c:v>
                </c:pt>
                <c:pt idx="6">
                  <c:v>66.2</c:v>
                </c:pt>
                <c:pt idx="7">
                  <c:v>63.1</c:v>
                </c:pt>
                <c:pt idx="8">
                  <c:v>35.199999999999996</c:v>
                </c:pt>
                <c:pt idx="9">
                  <c:v>46.6</c:v>
                </c:pt>
                <c:pt idx="10">
                  <c:v>54.400000000000006</c:v>
                </c:pt>
                <c:pt idx="11">
                  <c:v>47.099999999999994</c:v>
                </c:pt>
                <c:pt idx="12">
                  <c:v>52.6</c:v>
                </c:pt>
                <c:pt idx="13">
                  <c:v>48.199999999999996</c:v>
                </c:pt>
                <c:pt idx="14">
                  <c:v>58.9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78-44E3-83AE-66C5263F4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3455936"/>
        <c:axId val="783464464"/>
      </c:barChart>
      <c:catAx>
        <c:axId val="783455936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Annual Precipitation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464464"/>
        <c:crosses val="autoZero"/>
        <c:auto val="1"/>
        <c:lblAlgn val="ctr"/>
        <c:lblOffset val="100"/>
        <c:noMultiLvlLbl val="0"/>
      </c:catAx>
      <c:valAx>
        <c:axId val="78346446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Mn Composition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45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strRef>
              <c:f>redo_20220617_234!$BB$1</c:f>
              <c:strCache>
                <c:ptCount val="1"/>
                <c:pt idx="0">
                  <c:v>Mn2+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00B0F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redo_20220617_234!$BA$2:$BA$16</c:f>
              <c:numCache>
                <c:formatCode>0</c:formatCode>
                <c:ptCount val="15"/>
                <c:pt idx="0">
                  <c:v>3123.3532714799999</c:v>
                </c:pt>
                <c:pt idx="1">
                  <c:v>3018.20703125</c:v>
                </c:pt>
                <c:pt idx="2">
                  <c:v>2686.2336425799999</c:v>
                </c:pt>
                <c:pt idx="3">
                  <c:v>2176.1313476599998</c:v>
                </c:pt>
                <c:pt idx="4">
                  <c:v>1902.74255371</c:v>
                </c:pt>
                <c:pt idx="5">
                  <c:v>1710.6140136700001</c:v>
                </c:pt>
                <c:pt idx="6">
                  <c:v>995.80053710899995</c:v>
                </c:pt>
                <c:pt idx="7">
                  <c:v>887.72674560500002</c:v>
                </c:pt>
                <c:pt idx="8">
                  <c:v>995.80053710899995</c:v>
                </c:pt>
                <c:pt idx="9">
                  <c:v>954.46228027300003</c:v>
                </c:pt>
                <c:pt idx="10">
                  <c:v>821.85357666000004</c:v>
                </c:pt>
                <c:pt idx="11">
                  <c:v>436.990478516</c:v>
                </c:pt>
                <c:pt idx="12">
                  <c:v>343.36782836899999</c:v>
                </c:pt>
                <c:pt idx="13">
                  <c:v>303.63504028300002</c:v>
                </c:pt>
                <c:pt idx="14">
                  <c:v>284.71322631800001</c:v>
                </c:pt>
              </c:numCache>
            </c:numRef>
          </c:xVal>
          <c:yVal>
            <c:numRef>
              <c:f>redo_20220617_234!$BB$2:$BB$16</c:f>
              <c:numCache>
                <c:formatCode>0.0</c:formatCode>
                <c:ptCount val="15"/>
                <c:pt idx="0">
                  <c:v>17.7</c:v>
                </c:pt>
                <c:pt idx="1">
                  <c:v>27.800000000000004</c:v>
                </c:pt>
                <c:pt idx="2">
                  <c:v>31.2</c:v>
                </c:pt>
                <c:pt idx="3">
                  <c:v>7.7</c:v>
                </c:pt>
                <c:pt idx="4">
                  <c:v>8</c:v>
                </c:pt>
                <c:pt idx="5">
                  <c:v>3.1</c:v>
                </c:pt>
                <c:pt idx="6">
                  <c:v>7.3999999999999995</c:v>
                </c:pt>
                <c:pt idx="7">
                  <c:v>7.6076076076076067</c:v>
                </c:pt>
                <c:pt idx="8">
                  <c:v>15.215215215215213</c:v>
                </c:pt>
                <c:pt idx="9">
                  <c:v>14.914914914914911</c:v>
                </c:pt>
                <c:pt idx="10">
                  <c:v>9.7902097902097882</c:v>
                </c:pt>
                <c:pt idx="11">
                  <c:v>11.400000000000002</c:v>
                </c:pt>
                <c:pt idx="12">
                  <c:v>9.9900099900099892</c:v>
                </c:pt>
                <c:pt idx="13">
                  <c:v>10.189810189810187</c:v>
                </c:pt>
                <c:pt idx="14">
                  <c:v>7.6000000000000014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ED-4B96-AD27-C848A33EEEE0}"/>
            </c:ext>
          </c:extLst>
        </c:ser>
        <c:ser>
          <c:idx val="3"/>
          <c:order val="1"/>
          <c:tx>
            <c:strRef>
              <c:f>redo_20220617_234!$BC$1</c:f>
              <c:strCache>
                <c:ptCount val="1"/>
                <c:pt idx="0">
                  <c:v>Mn3+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redo_20220617_234!$BA$2:$BA$16</c:f>
              <c:numCache>
                <c:formatCode>0</c:formatCode>
                <c:ptCount val="15"/>
                <c:pt idx="0">
                  <c:v>3123.3532714799999</c:v>
                </c:pt>
                <c:pt idx="1">
                  <c:v>3018.20703125</c:v>
                </c:pt>
                <c:pt idx="2">
                  <c:v>2686.2336425799999</c:v>
                </c:pt>
                <c:pt idx="3">
                  <c:v>2176.1313476599998</c:v>
                </c:pt>
                <c:pt idx="4">
                  <c:v>1902.74255371</c:v>
                </c:pt>
                <c:pt idx="5">
                  <c:v>1710.6140136700001</c:v>
                </c:pt>
                <c:pt idx="6">
                  <c:v>995.80053710899995</c:v>
                </c:pt>
                <c:pt idx="7">
                  <c:v>887.72674560500002</c:v>
                </c:pt>
                <c:pt idx="8">
                  <c:v>995.80053710899995</c:v>
                </c:pt>
                <c:pt idx="9">
                  <c:v>954.46228027300003</c:v>
                </c:pt>
                <c:pt idx="10">
                  <c:v>821.85357666000004</c:v>
                </c:pt>
                <c:pt idx="11">
                  <c:v>436.990478516</c:v>
                </c:pt>
                <c:pt idx="12">
                  <c:v>343.36782836899999</c:v>
                </c:pt>
                <c:pt idx="13">
                  <c:v>303.63504028300002</c:v>
                </c:pt>
                <c:pt idx="14">
                  <c:v>284.71322631800001</c:v>
                </c:pt>
              </c:numCache>
            </c:numRef>
          </c:xVal>
          <c:yVal>
            <c:numRef>
              <c:f>redo_20220617_234!$BC$2:$BC$16</c:f>
              <c:numCache>
                <c:formatCode>0.0</c:formatCode>
                <c:ptCount val="15"/>
                <c:pt idx="0">
                  <c:v>0</c:v>
                </c:pt>
                <c:pt idx="1">
                  <c:v>72.2</c:v>
                </c:pt>
                <c:pt idx="2">
                  <c:v>68.8</c:v>
                </c:pt>
                <c:pt idx="3">
                  <c:v>19.2</c:v>
                </c:pt>
                <c:pt idx="4">
                  <c:v>24.6</c:v>
                </c:pt>
                <c:pt idx="5">
                  <c:v>11.899999999999999</c:v>
                </c:pt>
                <c:pt idx="6">
                  <c:v>26.400000000000002</c:v>
                </c:pt>
                <c:pt idx="7">
                  <c:v>29.2</c:v>
                </c:pt>
                <c:pt idx="8">
                  <c:v>49.5</c:v>
                </c:pt>
                <c:pt idx="9">
                  <c:v>38.4</c:v>
                </c:pt>
                <c:pt idx="10">
                  <c:v>35.9</c:v>
                </c:pt>
                <c:pt idx="11">
                  <c:v>41.5</c:v>
                </c:pt>
                <c:pt idx="12">
                  <c:v>37.5</c:v>
                </c:pt>
                <c:pt idx="13">
                  <c:v>41.699999999999996</c:v>
                </c:pt>
                <c:pt idx="14">
                  <c:v>33.5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ED-4B96-AD27-C848A33EEEE0}"/>
            </c:ext>
          </c:extLst>
        </c:ser>
        <c:ser>
          <c:idx val="4"/>
          <c:order val="2"/>
          <c:tx>
            <c:strRef>
              <c:f>redo_20220617_234!$BD$1</c:f>
              <c:strCache>
                <c:ptCount val="1"/>
                <c:pt idx="0">
                  <c:v>Mn4+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4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redo_20220617_234!$BA$2:$BA$16</c:f>
              <c:numCache>
                <c:formatCode>0</c:formatCode>
                <c:ptCount val="15"/>
                <c:pt idx="0">
                  <c:v>3123.3532714799999</c:v>
                </c:pt>
                <c:pt idx="1">
                  <c:v>3018.20703125</c:v>
                </c:pt>
                <c:pt idx="2">
                  <c:v>2686.2336425799999</c:v>
                </c:pt>
                <c:pt idx="3">
                  <c:v>2176.1313476599998</c:v>
                </c:pt>
                <c:pt idx="4">
                  <c:v>1902.74255371</c:v>
                </c:pt>
                <c:pt idx="5">
                  <c:v>1710.6140136700001</c:v>
                </c:pt>
                <c:pt idx="6">
                  <c:v>995.80053710899995</c:v>
                </c:pt>
                <c:pt idx="7">
                  <c:v>887.72674560500002</c:v>
                </c:pt>
                <c:pt idx="8">
                  <c:v>995.80053710899995</c:v>
                </c:pt>
                <c:pt idx="9">
                  <c:v>954.46228027300003</c:v>
                </c:pt>
                <c:pt idx="10">
                  <c:v>821.85357666000004</c:v>
                </c:pt>
                <c:pt idx="11">
                  <c:v>436.990478516</c:v>
                </c:pt>
                <c:pt idx="12">
                  <c:v>343.36782836899999</c:v>
                </c:pt>
                <c:pt idx="13">
                  <c:v>303.63504028300002</c:v>
                </c:pt>
                <c:pt idx="14">
                  <c:v>284.71322631800001</c:v>
                </c:pt>
              </c:numCache>
            </c:numRef>
          </c:xVal>
          <c:yVal>
            <c:numRef>
              <c:f>redo_20220617_234!$BD$2:$BD$16</c:f>
              <c:numCache>
                <c:formatCode>0.0</c:formatCode>
                <c:ptCount val="15"/>
                <c:pt idx="0">
                  <c:v>82.300000000000011</c:v>
                </c:pt>
                <c:pt idx="1">
                  <c:v>0</c:v>
                </c:pt>
                <c:pt idx="2">
                  <c:v>0</c:v>
                </c:pt>
                <c:pt idx="3">
                  <c:v>73.099999999999994</c:v>
                </c:pt>
                <c:pt idx="4">
                  <c:v>67.400000000000006</c:v>
                </c:pt>
                <c:pt idx="5">
                  <c:v>85</c:v>
                </c:pt>
                <c:pt idx="6">
                  <c:v>66.2</c:v>
                </c:pt>
                <c:pt idx="7">
                  <c:v>63.1</c:v>
                </c:pt>
                <c:pt idx="8">
                  <c:v>35.199999999999996</c:v>
                </c:pt>
                <c:pt idx="9">
                  <c:v>46.6</c:v>
                </c:pt>
                <c:pt idx="10">
                  <c:v>54.400000000000006</c:v>
                </c:pt>
                <c:pt idx="11">
                  <c:v>47.099999999999994</c:v>
                </c:pt>
                <c:pt idx="12">
                  <c:v>52.6</c:v>
                </c:pt>
                <c:pt idx="13">
                  <c:v>48.199999999999996</c:v>
                </c:pt>
                <c:pt idx="14">
                  <c:v>58.9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ED-4B96-AD27-C848A33EE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3455936"/>
        <c:axId val="783464464"/>
      </c:scatterChart>
      <c:valAx>
        <c:axId val="783455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Annual Precipitation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464464"/>
        <c:crosses val="autoZero"/>
        <c:crossBetween val="midCat"/>
      </c:valAx>
      <c:valAx>
        <c:axId val="7834644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Mn Composition</a:t>
                </a:r>
                <a:r>
                  <a:rPr lang="en-US" baseline="0"/>
                  <a:t>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455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chart" Target="../charts/chart2.xml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chart" Target="../charts/chart1.xml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png"/><Relationship Id="rId13" Type="http://schemas.openxmlformats.org/officeDocument/2006/relationships/image" Target="../media/image35.png"/><Relationship Id="rId3" Type="http://schemas.openxmlformats.org/officeDocument/2006/relationships/image" Target="../media/image25.png"/><Relationship Id="rId7" Type="http://schemas.openxmlformats.org/officeDocument/2006/relationships/image" Target="../media/image29.png"/><Relationship Id="rId12" Type="http://schemas.openxmlformats.org/officeDocument/2006/relationships/image" Target="../media/image34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Relationship Id="rId6" Type="http://schemas.openxmlformats.org/officeDocument/2006/relationships/image" Target="../media/image28.png"/><Relationship Id="rId11" Type="http://schemas.openxmlformats.org/officeDocument/2006/relationships/image" Target="../media/image33.png"/><Relationship Id="rId5" Type="http://schemas.openxmlformats.org/officeDocument/2006/relationships/image" Target="../media/image27.png"/><Relationship Id="rId15" Type="http://schemas.openxmlformats.org/officeDocument/2006/relationships/image" Target="../media/image37.png"/><Relationship Id="rId10" Type="http://schemas.openxmlformats.org/officeDocument/2006/relationships/image" Target="../media/image32.png"/><Relationship Id="rId4" Type="http://schemas.openxmlformats.org/officeDocument/2006/relationships/image" Target="../media/image26.png"/><Relationship Id="rId9" Type="http://schemas.openxmlformats.org/officeDocument/2006/relationships/image" Target="../media/image31.png"/><Relationship Id="rId14" Type="http://schemas.openxmlformats.org/officeDocument/2006/relationships/image" Target="../media/image3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6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7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8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9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0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16</xdr:row>
      <xdr:rowOff>0</xdr:rowOff>
    </xdr:from>
    <xdr:to>
      <xdr:col>19</xdr:col>
      <xdr:colOff>10071</xdr:colOff>
      <xdr:row>36</xdr:row>
      <xdr:rowOff>37643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879206-C9B0-A38F-52DA-691FA1F6E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86550" y="2533650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19</xdr:col>
      <xdr:colOff>10071</xdr:colOff>
      <xdr:row>58</xdr:row>
      <xdr:rowOff>37643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3CD16-378B-DE58-44C3-7159CAD7B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86550" y="6515100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60</xdr:row>
      <xdr:rowOff>0</xdr:rowOff>
    </xdr:from>
    <xdr:to>
      <xdr:col>19</xdr:col>
      <xdr:colOff>10071</xdr:colOff>
      <xdr:row>80</xdr:row>
      <xdr:rowOff>26437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FF41FA0-3A50-256C-0C20-86B499153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86550" y="10496550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82</xdr:row>
      <xdr:rowOff>0</xdr:rowOff>
    </xdr:from>
    <xdr:to>
      <xdr:col>19</xdr:col>
      <xdr:colOff>10071</xdr:colOff>
      <xdr:row>102</xdr:row>
      <xdr:rowOff>37644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D7AD0C-7501-8049-2C41-25C9145DE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86550" y="14478000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104</xdr:row>
      <xdr:rowOff>0</xdr:rowOff>
    </xdr:from>
    <xdr:to>
      <xdr:col>19</xdr:col>
      <xdr:colOff>10071</xdr:colOff>
      <xdr:row>124</xdr:row>
      <xdr:rowOff>37643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AF5F1A2-9A52-E9CD-8665-51769E61E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86550" y="18459450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126</xdr:row>
      <xdr:rowOff>0</xdr:rowOff>
    </xdr:from>
    <xdr:to>
      <xdr:col>19</xdr:col>
      <xdr:colOff>10071</xdr:colOff>
      <xdr:row>146</xdr:row>
      <xdr:rowOff>37643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ACBDEF6-44D3-338D-A114-4C24EF3DA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86550" y="22440900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148</xdr:row>
      <xdr:rowOff>0</xdr:rowOff>
    </xdr:from>
    <xdr:to>
      <xdr:col>19</xdr:col>
      <xdr:colOff>10071</xdr:colOff>
      <xdr:row>168</xdr:row>
      <xdr:rowOff>37643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A5073B5-1E48-7368-CFBD-73E1AE189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686550" y="26422350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170</xdr:row>
      <xdr:rowOff>0</xdr:rowOff>
    </xdr:from>
    <xdr:to>
      <xdr:col>19</xdr:col>
      <xdr:colOff>10071</xdr:colOff>
      <xdr:row>190</xdr:row>
      <xdr:rowOff>37643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AD6F869-E6FB-57BC-A4D6-F89EA8372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86550" y="30403800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192</xdr:row>
      <xdr:rowOff>0</xdr:rowOff>
    </xdr:from>
    <xdr:to>
      <xdr:col>19</xdr:col>
      <xdr:colOff>10071</xdr:colOff>
      <xdr:row>212</xdr:row>
      <xdr:rowOff>37643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8289C47-40FF-EED5-E0CF-CEFC68178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686550" y="34385250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214</xdr:row>
      <xdr:rowOff>0</xdr:rowOff>
    </xdr:from>
    <xdr:to>
      <xdr:col>19</xdr:col>
      <xdr:colOff>10071</xdr:colOff>
      <xdr:row>234</xdr:row>
      <xdr:rowOff>37643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727FAD7-0578-0E38-4005-F7C1E9086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686550" y="38366700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236</xdr:row>
      <xdr:rowOff>0</xdr:rowOff>
    </xdr:from>
    <xdr:to>
      <xdr:col>19</xdr:col>
      <xdr:colOff>10071</xdr:colOff>
      <xdr:row>256</xdr:row>
      <xdr:rowOff>37643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82ACB6D-5F60-854D-5148-01F281797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686550" y="42348150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258</xdr:row>
      <xdr:rowOff>0</xdr:rowOff>
    </xdr:from>
    <xdr:to>
      <xdr:col>19</xdr:col>
      <xdr:colOff>10071</xdr:colOff>
      <xdr:row>278</xdr:row>
      <xdr:rowOff>37642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770D41A-9F80-AFD8-9A3A-717198D53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686550" y="46329600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280</xdr:row>
      <xdr:rowOff>0</xdr:rowOff>
    </xdr:from>
    <xdr:to>
      <xdr:col>19</xdr:col>
      <xdr:colOff>10071</xdr:colOff>
      <xdr:row>300</xdr:row>
      <xdr:rowOff>37643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5AA567-16C0-71E2-0D43-0C05E0F50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686550" y="50311050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302</xdr:row>
      <xdr:rowOff>0</xdr:rowOff>
    </xdr:from>
    <xdr:to>
      <xdr:col>19</xdr:col>
      <xdr:colOff>10071</xdr:colOff>
      <xdr:row>322</xdr:row>
      <xdr:rowOff>37643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2E67EEB-47D9-8139-9638-A4D4F52E7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686550" y="54292500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324</xdr:row>
      <xdr:rowOff>0</xdr:rowOff>
    </xdr:from>
    <xdr:to>
      <xdr:col>19</xdr:col>
      <xdr:colOff>10071</xdr:colOff>
      <xdr:row>344</xdr:row>
      <xdr:rowOff>37643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EE758CF-7FE7-6590-DEFF-D6AE05D5C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686550" y="58273950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38</xdr:row>
      <xdr:rowOff>0</xdr:rowOff>
    </xdr:from>
    <xdr:to>
      <xdr:col>38</xdr:col>
      <xdr:colOff>10071</xdr:colOff>
      <xdr:row>58</xdr:row>
      <xdr:rowOff>37643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B7D5366-B763-BEE6-6582-9CCAD2920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268950" y="6515100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60</xdr:row>
      <xdr:rowOff>0</xdr:rowOff>
    </xdr:from>
    <xdr:to>
      <xdr:col>38</xdr:col>
      <xdr:colOff>10071</xdr:colOff>
      <xdr:row>80</xdr:row>
      <xdr:rowOff>26437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90642F-F3C1-9D51-EA2C-825E460B1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268950" y="10496550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82</xdr:row>
      <xdr:rowOff>0</xdr:rowOff>
    </xdr:from>
    <xdr:to>
      <xdr:col>38</xdr:col>
      <xdr:colOff>10071</xdr:colOff>
      <xdr:row>102</xdr:row>
      <xdr:rowOff>37644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14207D8-65CA-6A1F-0461-2DFD4EFC5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8268950" y="14478000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104</xdr:row>
      <xdr:rowOff>0</xdr:rowOff>
    </xdr:from>
    <xdr:to>
      <xdr:col>38</xdr:col>
      <xdr:colOff>10071</xdr:colOff>
      <xdr:row>124</xdr:row>
      <xdr:rowOff>37643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735862A9-E086-6CB8-87EB-7F19E3662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8268950" y="18459450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126</xdr:row>
      <xdr:rowOff>0</xdr:rowOff>
    </xdr:from>
    <xdr:to>
      <xdr:col>38</xdr:col>
      <xdr:colOff>10071</xdr:colOff>
      <xdr:row>146</xdr:row>
      <xdr:rowOff>37643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8E28609-7B73-BA3C-DC05-BE224FB75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8268950" y="22440900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148</xdr:row>
      <xdr:rowOff>0</xdr:rowOff>
    </xdr:from>
    <xdr:to>
      <xdr:col>38</xdr:col>
      <xdr:colOff>10071</xdr:colOff>
      <xdr:row>168</xdr:row>
      <xdr:rowOff>37643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263A3AE-F245-29B1-2062-FC4F22CD2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8268950" y="26422350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170</xdr:row>
      <xdr:rowOff>0</xdr:rowOff>
    </xdr:from>
    <xdr:to>
      <xdr:col>38</xdr:col>
      <xdr:colOff>10071</xdr:colOff>
      <xdr:row>190</xdr:row>
      <xdr:rowOff>37643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E010297-A367-343C-4F85-EBA0D13C7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8268950" y="30403800"/>
          <a:ext cx="6095238" cy="3657143"/>
        </a:xfrm>
        <a:prstGeom prst="rect">
          <a:avLst/>
        </a:prstGeom>
      </xdr:spPr>
    </xdr:pic>
    <xdr:clientData/>
  </xdr:twoCellAnchor>
  <xdr:twoCellAnchor>
    <xdr:from>
      <xdr:col>57</xdr:col>
      <xdr:colOff>14941</xdr:colOff>
      <xdr:row>1</xdr:row>
      <xdr:rowOff>14948</xdr:rowOff>
    </xdr:from>
    <xdr:to>
      <xdr:col>65</xdr:col>
      <xdr:colOff>14941</xdr:colOff>
      <xdr:row>15</xdr:row>
      <xdr:rowOff>143442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82207C74-DD8E-2BA3-5AB4-7C49765A2D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57</xdr:col>
      <xdr:colOff>0</xdr:colOff>
      <xdr:row>17</xdr:row>
      <xdr:rowOff>0</xdr:rowOff>
    </xdr:from>
    <xdr:to>
      <xdr:col>65</xdr:col>
      <xdr:colOff>0</xdr:colOff>
      <xdr:row>31</xdr:row>
      <xdr:rowOff>128494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18334A4D-DB94-40FF-93F3-942C9D8FC3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18</xdr:col>
      <xdr:colOff>608838</xdr:colOff>
      <xdr:row>19</xdr:row>
      <xdr:rowOff>158293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E3AA1C-452B-6186-8EEC-85323EA2C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0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18</xdr:col>
      <xdr:colOff>608838</xdr:colOff>
      <xdr:row>40</xdr:row>
      <xdr:rowOff>158293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30B76AE-74C8-DB53-CEE3-50F5416CC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3867150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18</xdr:col>
      <xdr:colOff>608838</xdr:colOff>
      <xdr:row>61</xdr:row>
      <xdr:rowOff>158293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B83982-C8FC-AED4-C4EF-4FE3566AF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7734300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63</xdr:row>
      <xdr:rowOff>0</xdr:rowOff>
    </xdr:from>
    <xdr:to>
      <xdr:col>18</xdr:col>
      <xdr:colOff>608838</xdr:colOff>
      <xdr:row>82</xdr:row>
      <xdr:rowOff>158293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C2F6BC-29C8-7871-A403-0523A76F9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1601450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84</xdr:row>
      <xdr:rowOff>0</xdr:rowOff>
    </xdr:from>
    <xdr:to>
      <xdr:col>18</xdr:col>
      <xdr:colOff>608838</xdr:colOff>
      <xdr:row>103</xdr:row>
      <xdr:rowOff>158293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07FE632-A4AD-BBBE-7128-291D5E76C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86400" y="15468600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105</xdr:row>
      <xdr:rowOff>0</xdr:rowOff>
    </xdr:from>
    <xdr:to>
      <xdr:col>18</xdr:col>
      <xdr:colOff>608838</xdr:colOff>
      <xdr:row>124</xdr:row>
      <xdr:rowOff>158293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CB8C872-0C47-26A2-22DC-0DE380093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86400" y="19335750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126</xdr:row>
      <xdr:rowOff>0</xdr:rowOff>
    </xdr:from>
    <xdr:to>
      <xdr:col>18</xdr:col>
      <xdr:colOff>608838</xdr:colOff>
      <xdr:row>145</xdr:row>
      <xdr:rowOff>158293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81C582E-BD8A-D97D-6FC3-F4BD1EE76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486400" y="23202900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147</xdr:row>
      <xdr:rowOff>0</xdr:rowOff>
    </xdr:from>
    <xdr:to>
      <xdr:col>18</xdr:col>
      <xdr:colOff>608838</xdr:colOff>
      <xdr:row>166</xdr:row>
      <xdr:rowOff>158293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0DC99C9-0D79-C776-C1DC-A8A75C5F0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486400" y="27070050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168</xdr:row>
      <xdr:rowOff>0</xdr:rowOff>
    </xdr:from>
    <xdr:to>
      <xdr:col>18</xdr:col>
      <xdr:colOff>608838</xdr:colOff>
      <xdr:row>187</xdr:row>
      <xdr:rowOff>158293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5C66802-7208-B8A8-5A0E-DED53C397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86400" y="30937200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189</xdr:row>
      <xdr:rowOff>0</xdr:rowOff>
    </xdr:from>
    <xdr:to>
      <xdr:col>18</xdr:col>
      <xdr:colOff>608838</xdr:colOff>
      <xdr:row>208</xdr:row>
      <xdr:rowOff>158293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0013A31-7BDB-1174-FD73-439DD6ECD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486400" y="34804350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210</xdr:row>
      <xdr:rowOff>0</xdr:rowOff>
    </xdr:from>
    <xdr:to>
      <xdr:col>18</xdr:col>
      <xdr:colOff>608838</xdr:colOff>
      <xdr:row>229</xdr:row>
      <xdr:rowOff>158293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12DC78D-C11D-556B-A7CC-855966F15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486400" y="38671500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231</xdr:row>
      <xdr:rowOff>0</xdr:rowOff>
    </xdr:from>
    <xdr:to>
      <xdr:col>18</xdr:col>
      <xdr:colOff>608838</xdr:colOff>
      <xdr:row>250</xdr:row>
      <xdr:rowOff>158293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85BC100-0BE2-CAF0-8F5B-E84E80819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486400" y="42538650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252</xdr:row>
      <xdr:rowOff>0</xdr:rowOff>
    </xdr:from>
    <xdr:to>
      <xdr:col>18</xdr:col>
      <xdr:colOff>608838</xdr:colOff>
      <xdr:row>271</xdr:row>
      <xdr:rowOff>158293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941C17B-C674-89A0-7D83-DAEB11EFA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486400" y="46405800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273</xdr:row>
      <xdr:rowOff>0</xdr:rowOff>
    </xdr:from>
    <xdr:to>
      <xdr:col>18</xdr:col>
      <xdr:colOff>608838</xdr:colOff>
      <xdr:row>292</xdr:row>
      <xdr:rowOff>158293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77ABC8D-0753-F902-98F3-D6F46A6B3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486400" y="50272950"/>
          <a:ext cx="6095238" cy="36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294</xdr:row>
      <xdr:rowOff>0</xdr:rowOff>
    </xdr:from>
    <xdr:to>
      <xdr:col>18</xdr:col>
      <xdr:colOff>608838</xdr:colOff>
      <xdr:row>313</xdr:row>
      <xdr:rowOff>158293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34EB94B-88AF-4211-A752-BC3820047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486400" y="54140100"/>
          <a:ext cx="6095238" cy="36571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18</xdr:col>
      <xdr:colOff>608838</xdr:colOff>
      <xdr:row>20</xdr:row>
      <xdr:rowOff>37643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134A0A-E315-2C44-492E-187AD1438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0"/>
          <a:ext cx="6095238" cy="36571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18</xdr:col>
      <xdr:colOff>608838</xdr:colOff>
      <xdr:row>20</xdr:row>
      <xdr:rowOff>37643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91AEB6-0D29-3D49-4103-F45990F70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0"/>
          <a:ext cx="6095238" cy="365714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18</xdr:col>
      <xdr:colOff>608838</xdr:colOff>
      <xdr:row>20</xdr:row>
      <xdr:rowOff>37643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4269C8-D8D6-E8AE-55A0-B71ED056E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0"/>
          <a:ext cx="6095238" cy="365714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18</xdr:col>
      <xdr:colOff>608838</xdr:colOff>
      <xdr:row>20</xdr:row>
      <xdr:rowOff>37643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40F222-00C1-9A3E-695B-265881CD4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0"/>
          <a:ext cx="6095238" cy="365714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18</xdr:col>
      <xdr:colOff>608838</xdr:colOff>
      <xdr:row>20</xdr:row>
      <xdr:rowOff>37643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4E0121-AC7E-3CE9-D52D-33428E8B7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0"/>
          <a:ext cx="6095238" cy="365714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18</xdr:col>
      <xdr:colOff>608838</xdr:colOff>
      <xdr:row>20</xdr:row>
      <xdr:rowOff>37643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97EC23-07BF-74C8-DAA9-C002C9BD5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0"/>
          <a:ext cx="6095238" cy="365714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18</xdr:col>
      <xdr:colOff>608838</xdr:colOff>
      <xdr:row>20</xdr:row>
      <xdr:rowOff>37643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DAA6A7-2A27-A8E4-35F2-983C2F2F9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0"/>
          <a:ext cx="6095238" cy="365714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18</xdr:col>
      <xdr:colOff>608838</xdr:colOff>
      <xdr:row>20</xdr:row>
      <xdr:rowOff>37643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22833D-1E23-2D0C-036E-F032331A4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0"/>
          <a:ext cx="6095238" cy="365714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18</xdr:col>
      <xdr:colOff>608838</xdr:colOff>
      <xdr:row>20</xdr:row>
      <xdr:rowOff>37643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41EF22-9648-A2DC-BE3C-F28B009AE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0"/>
          <a:ext cx="6095238" cy="365714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18</xdr:col>
      <xdr:colOff>608838</xdr:colOff>
      <xdr:row>20</xdr:row>
      <xdr:rowOff>37643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753CFF-0FA5-83A5-A9D0-F3652D162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0"/>
          <a:ext cx="6095238" cy="365714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18</xdr:col>
      <xdr:colOff>608838</xdr:colOff>
      <xdr:row>20</xdr:row>
      <xdr:rowOff>37643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457984-70AE-EB1D-EE38-469FFDA41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0"/>
          <a:ext cx="6095238" cy="365714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18</xdr:col>
      <xdr:colOff>608838</xdr:colOff>
      <xdr:row>20</xdr:row>
      <xdr:rowOff>37643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58E901-7E02-38D0-4790-781D32073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0"/>
          <a:ext cx="6095238" cy="365714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18</xdr:col>
      <xdr:colOff>608838</xdr:colOff>
      <xdr:row>20</xdr:row>
      <xdr:rowOff>37643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C2502A-FCBE-A0D8-D054-F7C2CF450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0"/>
          <a:ext cx="6095238" cy="365714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18</xdr:col>
      <xdr:colOff>608838</xdr:colOff>
      <xdr:row>20</xdr:row>
      <xdr:rowOff>37643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D80066-2526-114A-D399-6A4511436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0"/>
          <a:ext cx="6095238" cy="365714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18</xdr:col>
      <xdr:colOff>608838</xdr:colOff>
      <xdr:row>20</xdr:row>
      <xdr:rowOff>37643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FB7F26-3EAF-FB02-C6BF-C5136DE3F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0"/>
          <a:ext cx="6095238" cy="36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A1546-0840-42A1-B60F-B2FE05BCF6E5}">
  <dimension ref="A1:BG367"/>
  <sheetViews>
    <sheetView tabSelected="1" zoomScale="85" zoomScaleNormal="85" workbookViewId="0">
      <pane ySplit="1" topLeftCell="A2" activePane="bottomLeft" state="frozen"/>
      <selection activeCell="AO1" sqref="AO1"/>
      <selection pane="bottomLeft" activeCell="G6" sqref="G6"/>
    </sheetView>
  </sheetViews>
  <sheetFormatPr baseColWidth="10" defaultColWidth="8.83203125" defaultRowHeight="15" x14ac:dyDescent="0.2"/>
  <cols>
    <col min="2" max="2" width="4.6640625" customWidth="1"/>
    <col min="3" max="3" width="17.33203125" customWidth="1"/>
    <col min="4" max="4" width="15" customWidth="1"/>
    <col min="44" max="44" width="13.6640625" customWidth="1"/>
    <col min="45" max="45" width="43.6640625" customWidth="1"/>
  </cols>
  <sheetData>
    <row r="1" spans="1:59" x14ac:dyDescent="0.2">
      <c r="A1" t="s">
        <v>91</v>
      </c>
      <c r="B1" t="s">
        <v>92</v>
      </c>
      <c r="C1" t="s">
        <v>41</v>
      </c>
      <c r="D1" t="s">
        <v>34</v>
      </c>
      <c r="AO1" t="s">
        <v>79</v>
      </c>
      <c r="AP1" t="s">
        <v>80</v>
      </c>
      <c r="AQ1" t="s">
        <v>30</v>
      </c>
      <c r="AR1" t="s">
        <v>31</v>
      </c>
      <c r="AS1" t="s">
        <v>88</v>
      </c>
      <c r="AT1" t="s">
        <v>33</v>
      </c>
      <c r="AU1" t="s">
        <v>78</v>
      </c>
      <c r="AV1" t="s">
        <v>35</v>
      </c>
      <c r="AW1" t="s">
        <v>37</v>
      </c>
      <c r="AX1" t="s">
        <v>39</v>
      </c>
      <c r="AZ1" t="s">
        <v>79</v>
      </c>
      <c r="BA1" t="s">
        <v>80</v>
      </c>
      <c r="BB1" t="s">
        <v>35</v>
      </c>
      <c r="BC1" t="s">
        <v>37</v>
      </c>
      <c r="BD1" t="s">
        <v>39</v>
      </c>
    </row>
    <row r="2" spans="1:59" x14ac:dyDescent="0.2">
      <c r="A2">
        <v>1</v>
      </c>
      <c r="B2" t="s">
        <v>93</v>
      </c>
      <c r="C2" t="s">
        <v>43</v>
      </c>
      <c r="D2">
        <v>2</v>
      </c>
      <c r="E2" s="2"/>
      <c r="AO2">
        <v>2</v>
      </c>
      <c r="AQ2">
        <v>1.6548999999999999E-3</v>
      </c>
      <c r="AR2">
        <v>4.5169999999999997E-4</v>
      </c>
      <c r="AS2" t="s">
        <v>89</v>
      </c>
      <c r="AT2">
        <v>0.27400000000000002</v>
      </c>
      <c r="AU2">
        <v>4</v>
      </c>
      <c r="AX2">
        <v>0.27400000000000002</v>
      </c>
      <c r="AZ2">
        <v>2</v>
      </c>
      <c r="BA2" s="5">
        <v>3123.3532714799999</v>
      </c>
      <c r="BB2" s="4">
        <v>17.7</v>
      </c>
      <c r="BC2" s="4">
        <v>0</v>
      </c>
      <c r="BD2" s="4">
        <v>82.300000000000011</v>
      </c>
    </row>
    <row r="3" spans="1:59" x14ac:dyDescent="0.2">
      <c r="A3">
        <v>2</v>
      </c>
      <c r="B3" t="s">
        <v>94</v>
      </c>
      <c r="C3" t="s">
        <v>45</v>
      </c>
      <c r="D3">
        <v>2</v>
      </c>
      <c r="E3" s="2"/>
      <c r="AS3" t="s">
        <v>90</v>
      </c>
      <c r="AT3">
        <v>0.54900000000000004</v>
      </c>
      <c r="AU3">
        <v>4</v>
      </c>
      <c r="AX3">
        <v>0.54900000000000004</v>
      </c>
      <c r="AZ3">
        <v>3</v>
      </c>
      <c r="BA3" s="5">
        <v>3018.20703125</v>
      </c>
      <c r="BB3" s="4">
        <v>27.800000000000004</v>
      </c>
      <c r="BC3" s="4">
        <v>72.2</v>
      </c>
      <c r="BD3" s="4">
        <v>0</v>
      </c>
    </row>
    <row r="4" spans="1:59" x14ac:dyDescent="0.2">
      <c r="A4">
        <v>3</v>
      </c>
      <c r="B4" t="s">
        <v>95</v>
      </c>
      <c r="C4" t="s">
        <v>46</v>
      </c>
      <c r="D4">
        <v>2</v>
      </c>
      <c r="E4" s="2"/>
      <c r="AS4" t="s">
        <v>82</v>
      </c>
      <c r="AT4">
        <v>0.17699999999999999</v>
      </c>
      <c r="AU4">
        <v>2</v>
      </c>
      <c r="AV4">
        <v>0.17699999999999999</v>
      </c>
      <c r="AZ4">
        <v>6</v>
      </c>
      <c r="BA4" s="5">
        <v>2686.2336425799999</v>
      </c>
      <c r="BB4" s="4">
        <v>31.2</v>
      </c>
      <c r="BC4" s="4">
        <v>68.8</v>
      </c>
      <c r="BD4" s="4">
        <v>0</v>
      </c>
      <c r="BG4" s="5"/>
    </row>
    <row r="5" spans="1:59" x14ac:dyDescent="0.2">
      <c r="C5" t="s">
        <v>40</v>
      </c>
      <c r="D5">
        <v>23</v>
      </c>
      <c r="E5" s="2" t="s">
        <v>96</v>
      </c>
      <c r="AS5" t="s">
        <v>84</v>
      </c>
      <c r="AT5">
        <f>SUM(AT2:AT4)</f>
        <v>1</v>
      </c>
      <c r="AV5">
        <f>SUM(AV2:AV4)</f>
        <v>0.17699999999999999</v>
      </c>
      <c r="AW5">
        <f t="shared" ref="AW5" si="0">SUM(AW2:AW4)</f>
        <v>0</v>
      </c>
      <c r="AX5">
        <f>SUM(AX2:AX4)</f>
        <v>0.82300000000000006</v>
      </c>
      <c r="AZ5">
        <v>11</v>
      </c>
      <c r="BA5" s="5">
        <v>2176.1313476599998</v>
      </c>
      <c r="BB5" s="4">
        <v>7.7</v>
      </c>
      <c r="BC5" s="4">
        <v>19.2</v>
      </c>
      <c r="BD5" s="4">
        <v>73.099999999999994</v>
      </c>
    </row>
    <row r="6" spans="1:59" x14ac:dyDescent="0.2">
      <c r="C6" t="s">
        <v>51</v>
      </c>
      <c r="D6">
        <v>23</v>
      </c>
      <c r="E6" s="2" t="s">
        <v>96</v>
      </c>
      <c r="AS6" t="s">
        <v>85</v>
      </c>
      <c r="AV6">
        <f>AV5/$AT5*100</f>
        <v>17.7</v>
      </c>
      <c r="AW6">
        <f>AW5/$AT$17*100</f>
        <v>0</v>
      </c>
      <c r="AX6">
        <f>AX5/$AT$17*100</f>
        <v>82.300000000000011</v>
      </c>
      <c r="AZ6">
        <v>15</v>
      </c>
      <c r="BA6" s="5">
        <v>1902.74255371</v>
      </c>
      <c r="BB6" s="4">
        <v>8</v>
      </c>
      <c r="BC6" s="4">
        <v>24.6</v>
      </c>
      <c r="BD6" s="4">
        <v>67.400000000000006</v>
      </c>
      <c r="BG6" s="5"/>
    </row>
    <row r="7" spans="1:59" x14ac:dyDescent="0.2">
      <c r="C7" t="s">
        <v>47</v>
      </c>
      <c r="D7">
        <v>3</v>
      </c>
      <c r="E7" s="2" t="s">
        <v>96</v>
      </c>
      <c r="AZ7">
        <v>18</v>
      </c>
      <c r="BA7" s="5">
        <v>1710.6140136700001</v>
      </c>
      <c r="BB7" s="4">
        <v>3.1</v>
      </c>
      <c r="BC7" s="4">
        <v>11.899999999999999</v>
      </c>
      <c r="BD7" s="4">
        <v>85</v>
      </c>
      <c r="BG7" s="5"/>
    </row>
    <row r="8" spans="1:59" x14ac:dyDescent="0.2">
      <c r="A8">
        <v>4</v>
      </c>
      <c r="B8" t="s">
        <v>97</v>
      </c>
      <c r="C8" t="s">
        <v>54</v>
      </c>
      <c r="D8">
        <v>3</v>
      </c>
      <c r="E8" s="2"/>
      <c r="AO8">
        <v>3</v>
      </c>
      <c r="AQ8">
        <v>4.5631999999999999E-3</v>
      </c>
      <c r="AR8">
        <v>1.3458999999999999E-3</v>
      </c>
      <c r="AS8" t="s">
        <v>81</v>
      </c>
      <c r="AT8">
        <v>0.72199999999999998</v>
      </c>
      <c r="AU8">
        <v>3</v>
      </c>
      <c r="AW8">
        <v>0.72199999999999998</v>
      </c>
      <c r="AZ8">
        <v>27</v>
      </c>
      <c r="BA8" s="5">
        <v>995.80053710899995</v>
      </c>
      <c r="BB8" s="4">
        <v>7.3999999999999995</v>
      </c>
      <c r="BC8" s="4">
        <v>26.400000000000002</v>
      </c>
      <c r="BD8" s="4">
        <v>66.2</v>
      </c>
    </row>
    <row r="9" spans="1:59" x14ac:dyDescent="0.2">
      <c r="A9">
        <v>5</v>
      </c>
      <c r="B9" t="s">
        <v>98</v>
      </c>
      <c r="C9" t="s">
        <v>52</v>
      </c>
      <c r="D9">
        <v>3</v>
      </c>
      <c r="E9" s="2"/>
      <c r="AS9" t="s">
        <v>82</v>
      </c>
      <c r="AT9">
        <v>0.158</v>
      </c>
      <c r="AU9">
        <v>2</v>
      </c>
      <c r="AV9">
        <v>0.158</v>
      </c>
      <c r="AZ9">
        <v>30</v>
      </c>
      <c r="BA9" s="5">
        <v>887.72674560500002</v>
      </c>
      <c r="BB9" s="4">
        <v>7.6076076076076067</v>
      </c>
      <c r="BC9" s="4">
        <v>29.2</v>
      </c>
      <c r="BD9" s="4">
        <v>63.1</v>
      </c>
      <c r="BG9" s="5"/>
    </row>
    <row r="10" spans="1:59" x14ac:dyDescent="0.2">
      <c r="A10">
        <v>6</v>
      </c>
      <c r="B10" t="s">
        <v>99</v>
      </c>
      <c r="C10" t="s">
        <v>100</v>
      </c>
      <c r="D10">
        <v>3</v>
      </c>
      <c r="E10" s="2"/>
      <c r="AS10" t="s">
        <v>83</v>
      </c>
      <c r="AT10">
        <v>0.12</v>
      </c>
      <c r="AU10">
        <v>2</v>
      </c>
      <c r="AV10">
        <v>0.12</v>
      </c>
      <c r="AZ10">
        <v>32</v>
      </c>
      <c r="BA10" s="5">
        <v>995.80053710899995</v>
      </c>
      <c r="BB10" s="4">
        <v>15.215215215215213</v>
      </c>
      <c r="BC10" s="4">
        <v>49.5</v>
      </c>
      <c r="BD10" s="4">
        <v>35.199999999999996</v>
      </c>
    </row>
    <row r="11" spans="1:59" x14ac:dyDescent="0.2">
      <c r="C11" t="s">
        <v>42</v>
      </c>
      <c r="D11">
        <v>34</v>
      </c>
      <c r="E11" s="2" t="s">
        <v>96</v>
      </c>
      <c r="AS11" t="s">
        <v>84</v>
      </c>
      <c r="AT11">
        <f>SUM(AT8:AT10)</f>
        <v>1</v>
      </c>
      <c r="AV11">
        <f t="shared" ref="AV11:AX11" si="1">SUM(AV8:AV10)</f>
        <v>0.27800000000000002</v>
      </c>
      <c r="AW11">
        <f t="shared" si="1"/>
        <v>0.72199999999999998</v>
      </c>
      <c r="AX11">
        <f t="shared" si="1"/>
        <v>0</v>
      </c>
      <c r="AZ11">
        <v>33</v>
      </c>
      <c r="BA11" s="5">
        <v>954.46228027300003</v>
      </c>
      <c r="BB11" s="4">
        <v>14.914914914914911</v>
      </c>
      <c r="BC11" s="4">
        <v>38.4</v>
      </c>
      <c r="BD11" s="4">
        <v>46.6</v>
      </c>
    </row>
    <row r="12" spans="1:59" x14ac:dyDescent="0.2">
      <c r="A12">
        <v>7</v>
      </c>
      <c r="B12" t="s">
        <v>101</v>
      </c>
      <c r="C12" t="s">
        <v>49</v>
      </c>
      <c r="D12">
        <v>4</v>
      </c>
      <c r="E12" s="2"/>
      <c r="AS12" t="s">
        <v>85</v>
      </c>
      <c r="AV12">
        <f>AV11/$AT$11*100</f>
        <v>27.800000000000004</v>
      </c>
      <c r="AW12">
        <f>AW11/$AT$11*100</f>
        <v>72.2</v>
      </c>
      <c r="AX12">
        <f>AX11/$AT$11*100</f>
        <v>0</v>
      </c>
      <c r="AZ12">
        <v>36</v>
      </c>
      <c r="BA12" s="5">
        <v>821.85357666000004</v>
      </c>
      <c r="BB12" s="4">
        <v>9.7902097902097882</v>
      </c>
      <c r="BC12" s="4">
        <v>35.9</v>
      </c>
      <c r="BD12" s="4">
        <v>54.400000000000006</v>
      </c>
      <c r="BG12" s="5"/>
    </row>
    <row r="13" spans="1:59" x14ac:dyDescent="0.2">
      <c r="A13">
        <v>8</v>
      </c>
      <c r="B13" t="s">
        <v>102</v>
      </c>
      <c r="C13" t="s">
        <v>50</v>
      </c>
      <c r="D13">
        <v>4</v>
      </c>
      <c r="E13" s="2"/>
      <c r="AZ13">
        <v>39</v>
      </c>
      <c r="BA13" s="5">
        <v>436.990478516</v>
      </c>
      <c r="BB13" s="4">
        <v>11.400000000000002</v>
      </c>
      <c r="BC13" s="4">
        <v>41.5</v>
      </c>
      <c r="BD13" s="4">
        <v>47.099999999999994</v>
      </c>
      <c r="BG13" s="5"/>
    </row>
    <row r="14" spans="1:59" x14ac:dyDescent="0.2">
      <c r="A14">
        <v>9</v>
      </c>
      <c r="B14" t="s">
        <v>103</v>
      </c>
      <c r="C14" t="s">
        <v>53</v>
      </c>
      <c r="D14">
        <v>4</v>
      </c>
      <c r="E14" s="2"/>
      <c r="AO14">
        <v>6</v>
      </c>
      <c r="AQ14">
        <v>4.5611000000000002E-3</v>
      </c>
      <c r="AR14">
        <v>1.3676000000000001E-3</v>
      </c>
      <c r="AS14" t="s">
        <v>81</v>
      </c>
      <c r="AT14">
        <v>0.68799999999999994</v>
      </c>
      <c r="AU14">
        <v>3</v>
      </c>
      <c r="AW14">
        <v>0.68799999999999994</v>
      </c>
      <c r="AZ14">
        <v>42</v>
      </c>
      <c r="BA14" s="5">
        <v>343.36782836899999</v>
      </c>
      <c r="BB14" s="4">
        <v>9.9900099900099892</v>
      </c>
      <c r="BC14" s="4">
        <v>37.5</v>
      </c>
      <c r="BD14" s="4">
        <v>52.6</v>
      </c>
    </row>
    <row r="15" spans="1:59" x14ac:dyDescent="0.2">
      <c r="A15" t="s">
        <v>77</v>
      </c>
      <c r="AS15" t="s">
        <v>82</v>
      </c>
      <c r="AT15">
        <v>0.13400000000000001</v>
      </c>
      <c r="AU15">
        <v>2</v>
      </c>
      <c r="AV15">
        <v>0.13400000000000001</v>
      </c>
      <c r="AZ15">
        <v>44</v>
      </c>
      <c r="BA15" s="5">
        <v>303.63504028300002</v>
      </c>
      <c r="BB15" s="4">
        <v>10.189810189810187</v>
      </c>
      <c r="BC15" s="4">
        <v>41.699999999999996</v>
      </c>
      <c r="BD15" s="4">
        <v>48.199999999999996</v>
      </c>
      <c r="BG15" s="5"/>
    </row>
    <row r="16" spans="1:59" x14ac:dyDescent="0.2">
      <c r="AS16" t="s">
        <v>83</v>
      </c>
      <c r="AT16">
        <v>0.17799999999999999</v>
      </c>
      <c r="AU16">
        <v>2</v>
      </c>
      <c r="AV16">
        <v>0.17799999999999999</v>
      </c>
      <c r="AZ16">
        <v>45</v>
      </c>
      <c r="BA16" s="5">
        <v>284.71322631800001</v>
      </c>
      <c r="BB16" s="4">
        <v>7.6000000000000014</v>
      </c>
      <c r="BC16" s="4">
        <v>33.5</v>
      </c>
      <c r="BD16" s="4">
        <v>58.9</v>
      </c>
      <c r="BG16" s="5"/>
    </row>
    <row r="17" spans="1:59" x14ac:dyDescent="0.2">
      <c r="A17" s="6" t="s">
        <v>55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AS17" t="s">
        <v>84</v>
      </c>
      <c r="AT17">
        <f>SUM(AT14:AT16)</f>
        <v>1</v>
      </c>
      <c r="AV17">
        <f t="shared" ref="AV17" si="2">SUM(AV14:AV16)</f>
        <v>0.312</v>
      </c>
      <c r="AW17">
        <f t="shared" ref="AW17" si="3">SUM(AW14:AW16)</f>
        <v>0.68799999999999994</v>
      </c>
      <c r="AX17">
        <f t="shared" ref="AX17" si="4">SUM(AX14:AX16)</f>
        <v>0</v>
      </c>
    </row>
    <row r="18" spans="1:59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AS18" t="s">
        <v>85</v>
      </c>
      <c r="AV18">
        <f>AV17/$AT17*100</f>
        <v>31.2</v>
      </c>
      <c r="AW18">
        <f>AW17/$AT$17*100</f>
        <v>68.8</v>
      </c>
      <c r="AX18">
        <f>AX17/$AT$17*100</f>
        <v>0</v>
      </c>
      <c r="BG18" s="5"/>
    </row>
    <row r="19" spans="1:59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BG19" s="5"/>
    </row>
    <row r="20" spans="1:59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AO20">
        <v>11</v>
      </c>
      <c r="AQ20">
        <v>1.5302E-3</v>
      </c>
      <c r="AR20">
        <v>4.214E-4</v>
      </c>
      <c r="AS20" t="s">
        <v>86</v>
      </c>
      <c r="AT20">
        <v>0.192</v>
      </c>
      <c r="AU20">
        <v>3</v>
      </c>
      <c r="AW20">
        <v>0.192</v>
      </c>
    </row>
    <row r="21" spans="1:59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AS21" t="s">
        <v>87</v>
      </c>
      <c r="AT21">
        <v>0.73099999999999998</v>
      </c>
      <c r="AU21">
        <v>4</v>
      </c>
      <c r="AX21">
        <v>0.73099999999999998</v>
      </c>
      <c r="BG21" s="5"/>
    </row>
    <row r="22" spans="1:59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AS22" t="s">
        <v>82</v>
      </c>
      <c r="AT22">
        <v>7.6999999999999999E-2</v>
      </c>
      <c r="AU22">
        <v>2</v>
      </c>
      <c r="AV22">
        <v>7.6999999999999999E-2</v>
      </c>
    </row>
    <row r="23" spans="1:59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AS23" t="s">
        <v>84</v>
      </c>
      <c r="AT23">
        <f>SUM(AT20:AT22)</f>
        <v>1</v>
      </c>
      <c r="AV23">
        <f t="shared" ref="AV23" si="5">SUM(AV20:AV22)</f>
        <v>7.6999999999999999E-2</v>
      </c>
      <c r="AW23">
        <f t="shared" ref="AW23" si="6">SUM(AW20:AW22)</f>
        <v>0.192</v>
      </c>
      <c r="AX23">
        <f t="shared" ref="AX23" si="7">SUM(AX20:AX22)</f>
        <v>0.73099999999999998</v>
      </c>
    </row>
    <row r="24" spans="1:59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AS24" t="s">
        <v>85</v>
      </c>
      <c r="AV24">
        <f>AV23/$AT23*100</f>
        <v>7.7</v>
      </c>
      <c r="AW24">
        <f>AW23/$AT$17*100</f>
        <v>19.2</v>
      </c>
      <c r="AX24">
        <f>AX23/$AT$17*100</f>
        <v>73.099999999999994</v>
      </c>
    </row>
    <row r="25" spans="1:59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1:59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AO26">
        <v>15</v>
      </c>
      <c r="AQ26">
        <v>1.5667999999999999E-3</v>
      </c>
      <c r="AR26">
        <v>4.2749999999999998E-4</v>
      </c>
      <c r="AS26" t="s">
        <v>86</v>
      </c>
      <c r="AT26">
        <v>0.246</v>
      </c>
      <c r="AU26">
        <v>3</v>
      </c>
      <c r="AW26">
        <v>0.246</v>
      </c>
    </row>
    <row r="27" spans="1:59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AS27" t="s">
        <v>87</v>
      </c>
      <c r="AT27">
        <v>0.67400000000000004</v>
      </c>
      <c r="AU27">
        <v>4</v>
      </c>
      <c r="AX27">
        <v>0.67400000000000004</v>
      </c>
    </row>
    <row r="28" spans="1:59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AS28" t="s">
        <v>82</v>
      </c>
      <c r="AT28">
        <v>0.08</v>
      </c>
      <c r="AU28">
        <v>2</v>
      </c>
      <c r="AV28">
        <v>0.08</v>
      </c>
    </row>
    <row r="29" spans="1:59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AS29" t="s">
        <v>84</v>
      </c>
      <c r="AT29">
        <f>SUM(AT26:AT28)</f>
        <v>1</v>
      </c>
      <c r="AV29">
        <f t="shared" ref="AV29" si="8">SUM(AV26:AV28)</f>
        <v>0.08</v>
      </c>
      <c r="AW29">
        <f t="shared" ref="AW29" si="9">SUM(AW26:AW28)</f>
        <v>0.246</v>
      </c>
      <c r="AX29">
        <f t="shared" ref="AX29" si="10">SUM(AX26:AX28)</f>
        <v>0.67400000000000004</v>
      </c>
    </row>
    <row r="30" spans="1:59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AS30" t="s">
        <v>85</v>
      </c>
      <c r="AV30">
        <f>AV29/$AT29*100</f>
        <v>8</v>
      </c>
      <c r="AW30">
        <f>AW29/$AT$17*100</f>
        <v>24.6</v>
      </c>
      <c r="AX30">
        <f>AX29/$AT$17*100</f>
        <v>67.400000000000006</v>
      </c>
    </row>
    <row r="31" spans="1:59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59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AO32">
        <v>18</v>
      </c>
      <c r="AQ32">
        <v>4.8719999999999996E-3</v>
      </c>
      <c r="AR32">
        <v>1.3193E-3</v>
      </c>
      <c r="AS32" t="s">
        <v>86</v>
      </c>
      <c r="AT32">
        <v>0.11899999999999999</v>
      </c>
      <c r="AU32">
        <v>3</v>
      </c>
      <c r="AW32">
        <v>0.11899999999999999</v>
      </c>
    </row>
    <row r="33" spans="1:50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AS33" t="s">
        <v>87</v>
      </c>
      <c r="AT33">
        <v>0.85</v>
      </c>
      <c r="AU33">
        <v>4</v>
      </c>
      <c r="AX33">
        <v>0.85</v>
      </c>
    </row>
    <row r="34" spans="1:50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AS34" t="s">
        <v>82</v>
      </c>
      <c r="AT34">
        <v>3.1E-2</v>
      </c>
      <c r="AU34">
        <v>2</v>
      </c>
      <c r="AV34">
        <v>3.1E-2</v>
      </c>
    </row>
    <row r="35" spans="1:50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AS35" t="s">
        <v>84</v>
      </c>
      <c r="AT35">
        <f>SUM(AT32:AT34)</f>
        <v>1</v>
      </c>
      <c r="AV35">
        <f t="shared" ref="AV35" si="11">SUM(AV32:AV34)</f>
        <v>3.1E-2</v>
      </c>
      <c r="AW35">
        <f t="shared" ref="AW35" si="12">SUM(AW32:AW34)</f>
        <v>0.11899999999999999</v>
      </c>
      <c r="AX35">
        <f t="shared" ref="AX35" si="13">SUM(AX32:AX34)</f>
        <v>0.85</v>
      </c>
    </row>
    <row r="36" spans="1:50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AS36" t="s">
        <v>85</v>
      </c>
      <c r="AV36">
        <f>AV35/$AT35*100</f>
        <v>3.1</v>
      </c>
      <c r="AW36">
        <f>AW35/$AT$17*100</f>
        <v>11.899999999999999</v>
      </c>
      <c r="AX36">
        <f>AX35/$AT$17*100</f>
        <v>85</v>
      </c>
    </row>
    <row r="37" spans="1:50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50" x14ac:dyDescent="0.2">
      <c r="AO38">
        <v>27</v>
      </c>
      <c r="AQ38">
        <v>1.1839000000000001E-3</v>
      </c>
      <c r="AR38">
        <v>1.4005E-2</v>
      </c>
      <c r="AS38" t="s">
        <v>86</v>
      </c>
      <c r="AT38">
        <v>0.26400000000000001</v>
      </c>
      <c r="AU38">
        <v>3</v>
      </c>
      <c r="AW38">
        <v>0.26400000000000001</v>
      </c>
    </row>
    <row r="39" spans="1:50" x14ac:dyDescent="0.2">
      <c r="A39" s="6" t="s">
        <v>56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T39" s="6" t="s">
        <v>70</v>
      </c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S39" t="s">
        <v>87</v>
      </c>
      <c r="AT39">
        <v>0.66200000000000003</v>
      </c>
      <c r="AU39">
        <v>4</v>
      </c>
      <c r="AX39">
        <v>0.66200000000000003</v>
      </c>
    </row>
    <row r="40" spans="1:50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S40" t="s">
        <v>82</v>
      </c>
      <c r="AT40">
        <v>7.3999999999999996E-2</v>
      </c>
      <c r="AU40">
        <v>2</v>
      </c>
      <c r="AV40">
        <v>7.3999999999999996E-2</v>
      </c>
    </row>
    <row r="41" spans="1:50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S41" t="s">
        <v>84</v>
      </c>
      <c r="AT41">
        <f>SUM(AT38:AT40)</f>
        <v>1</v>
      </c>
      <c r="AV41">
        <f t="shared" ref="AV41" si="14">SUM(AV38:AV40)</f>
        <v>7.3999999999999996E-2</v>
      </c>
      <c r="AW41">
        <f t="shared" ref="AW41" si="15">SUM(AW38:AW40)</f>
        <v>0.26400000000000001</v>
      </c>
      <c r="AX41">
        <f t="shared" ref="AX41" si="16">SUM(AX38:AX40)</f>
        <v>0.66200000000000003</v>
      </c>
    </row>
    <row r="42" spans="1:50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S42" t="s">
        <v>85</v>
      </c>
      <c r="AV42">
        <f>AV41/$AT41*100</f>
        <v>7.3999999999999995</v>
      </c>
      <c r="AW42">
        <f>AW41/$AT$17*100</f>
        <v>26.400000000000002</v>
      </c>
      <c r="AX42">
        <f>AX41/$AT$17*100</f>
        <v>66.2</v>
      </c>
    </row>
    <row r="43" spans="1:50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</row>
    <row r="44" spans="1:50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O44">
        <v>30</v>
      </c>
      <c r="AQ44">
        <v>1.7861999999999999E-3</v>
      </c>
      <c r="AR44">
        <v>4.8270000000000002E-4</v>
      </c>
      <c r="AS44" t="s">
        <v>82</v>
      </c>
      <c r="AT44">
        <v>7.5999999999999998E-2</v>
      </c>
      <c r="AU44">
        <v>2</v>
      </c>
      <c r="AV44">
        <v>7.5999999999999998E-2</v>
      </c>
    </row>
    <row r="45" spans="1:50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S45" t="s">
        <v>86</v>
      </c>
      <c r="AT45">
        <v>0.29199999999999998</v>
      </c>
      <c r="AU45">
        <v>3</v>
      </c>
      <c r="AW45">
        <v>0.29199999999999998</v>
      </c>
    </row>
    <row r="46" spans="1:50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S46" t="s">
        <v>87</v>
      </c>
      <c r="AT46">
        <v>0.63100000000000001</v>
      </c>
      <c r="AU46">
        <v>4</v>
      </c>
      <c r="AX46">
        <v>0.63100000000000001</v>
      </c>
    </row>
    <row r="47" spans="1:50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S47" t="s">
        <v>84</v>
      </c>
      <c r="AT47">
        <f>SUM(AT44:AT46)</f>
        <v>0.999</v>
      </c>
      <c r="AV47">
        <f t="shared" ref="AV47" si="17">SUM(AV44:AV46)</f>
        <v>7.5999999999999998E-2</v>
      </c>
      <c r="AW47">
        <f t="shared" ref="AW47" si="18">SUM(AW44:AW46)</f>
        <v>0.29199999999999998</v>
      </c>
      <c r="AX47">
        <f t="shared" ref="AX47" si="19">SUM(AX44:AX46)</f>
        <v>0.63100000000000001</v>
      </c>
    </row>
    <row r="48" spans="1:50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S48" t="s">
        <v>85</v>
      </c>
      <c r="AV48">
        <f>AV47/$AT47*100</f>
        <v>7.6076076076076067</v>
      </c>
      <c r="AW48">
        <f>AW47/$AT$17*100</f>
        <v>29.2</v>
      </c>
      <c r="AX48">
        <f>AX47/$AT$17*100</f>
        <v>63.1</v>
      </c>
    </row>
    <row r="49" spans="1:50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</row>
    <row r="50" spans="1:50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O50">
        <v>32</v>
      </c>
      <c r="AQ50">
        <v>1.6712000000000001E-3</v>
      </c>
      <c r="AR50">
        <v>4.5090000000000001E-4</v>
      </c>
      <c r="AS50" t="s">
        <v>87</v>
      </c>
      <c r="AT50">
        <v>0.35199999999999998</v>
      </c>
      <c r="AU50">
        <v>4</v>
      </c>
      <c r="AX50">
        <v>0.35199999999999998</v>
      </c>
    </row>
    <row r="51" spans="1:50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S51" t="s">
        <v>86</v>
      </c>
      <c r="AT51">
        <v>0.495</v>
      </c>
      <c r="AU51">
        <v>3</v>
      </c>
      <c r="AW51">
        <v>0.495</v>
      </c>
    </row>
    <row r="52" spans="1:50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S52" t="s">
        <v>82</v>
      </c>
      <c r="AT52">
        <v>0.152</v>
      </c>
      <c r="AU52">
        <v>2</v>
      </c>
      <c r="AV52">
        <v>0.152</v>
      </c>
    </row>
    <row r="53" spans="1:50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S53" t="s">
        <v>84</v>
      </c>
      <c r="AT53">
        <f>SUM(AT50:AT52)</f>
        <v>0.999</v>
      </c>
      <c r="AV53">
        <f t="shared" ref="AV53" si="20">SUM(AV50:AV52)</f>
        <v>0.152</v>
      </c>
      <c r="AW53">
        <f t="shared" ref="AW53" si="21">SUM(AW50:AW52)</f>
        <v>0.495</v>
      </c>
      <c r="AX53">
        <f t="shared" ref="AX53" si="22">SUM(AX50:AX52)</f>
        <v>0.35199999999999998</v>
      </c>
    </row>
    <row r="54" spans="1:50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S54" t="s">
        <v>85</v>
      </c>
      <c r="AV54">
        <f>AV53/$AT53*100</f>
        <v>15.215215215215213</v>
      </c>
      <c r="AW54">
        <f>AW53/$AT$17*100</f>
        <v>49.5</v>
      </c>
      <c r="AX54">
        <f>AX53/$AT$17*100</f>
        <v>35.199999999999996</v>
      </c>
    </row>
    <row r="55" spans="1:50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</row>
    <row r="56" spans="1:50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O56">
        <v>33</v>
      </c>
      <c r="AQ56">
        <v>1.0258000000000001E-3</v>
      </c>
      <c r="AR56">
        <v>3.5620000000000001E-3</v>
      </c>
      <c r="AS56" t="s">
        <v>87</v>
      </c>
      <c r="AT56">
        <v>0.46600000000000003</v>
      </c>
      <c r="AU56">
        <v>4</v>
      </c>
      <c r="AX56">
        <v>0.46600000000000003</v>
      </c>
    </row>
    <row r="57" spans="1:50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S57" t="s">
        <v>86</v>
      </c>
      <c r="AT57">
        <v>0.38400000000000001</v>
      </c>
      <c r="AU57">
        <v>3</v>
      </c>
      <c r="AW57">
        <v>0.38400000000000001</v>
      </c>
    </row>
    <row r="58" spans="1:50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S58" t="s">
        <v>82</v>
      </c>
      <c r="AT58">
        <v>0.14899999999999999</v>
      </c>
      <c r="AU58">
        <v>2</v>
      </c>
      <c r="AV58">
        <v>0.14899999999999999</v>
      </c>
    </row>
    <row r="59" spans="1:50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S59" t="s">
        <v>84</v>
      </c>
      <c r="AT59">
        <f>SUM(AT56:AT58)</f>
        <v>0.99900000000000011</v>
      </c>
      <c r="AV59">
        <f t="shared" ref="AV59" si="23">SUM(AV56:AV58)</f>
        <v>0.14899999999999999</v>
      </c>
      <c r="AW59">
        <f t="shared" ref="AW59" si="24">SUM(AW56:AW58)</f>
        <v>0.38400000000000001</v>
      </c>
      <c r="AX59">
        <f>SUM(AX56:AX58)</f>
        <v>0.46600000000000003</v>
      </c>
    </row>
    <row r="60" spans="1:50" x14ac:dyDescent="0.2">
      <c r="AS60" t="s">
        <v>85</v>
      </c>
      <c r="AV60">
        <f>AV59/$AT59*100</f>
        <v>14.914914914914911</v>
      </c>
      <c r="AW60">
        <f>AW59/$AT$17*100</f>
        <v>38.4</v>
      </c>
      <c r="AX60">
        <f>AX59/$AT$17*100</f>
        <v>46.6</v>
      </c>
    </row>
    <row r="61" spans="1:50" x14ac:dyDescent="0.2">
      <c r="A61" s="6" t="s">
        <v>57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T61" s="6" t="s">
        <v>71</v>
      </c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</row>
    <row r="62" spans="1:50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O62">
        <v>36</v>
      </c>
      <c r="AQ62">
        <v>1.6516E-3</v>
      </c>
      <c r="AR62">
        <v>4.4509999999999998E-4</v>
      </c>
      <c r="AS62" t="s">
        <v>86</v>
      </c>
      <c r="AT62">
        <v>0.35899999999999999</v>
      </c>
      <c r="AU62">
        <v>3</v>
      </c>
      <c r="AW62">
        <v>0.35899999999999999</v>
      </c>
    </row>
    <row r="63" spans="1:50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S63" t="s">
        <v>87</v>
      </c>
      <c r="AT63">
        <v>0.54400000000000004</v>
      </c>
      <c r="AU63">
        <v>4</v>
      </c>
      <c r="AX63">
        <v>0.54400000000000004</v>
      </c>
    </row>
    <row r="64" spans="1:50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S64" t="s">
        <v>82</v>
      </c>
      <c r="AT64">
        <v>9.8000000000000004E-2</v>
      </c>
      <c r="AU64">
        <v>2</v>
      </c>
      <c r="AV64">
        <v>9.8000000000000004E-2</v>
      </c>
    </row>
    <row r="65" spans="1:50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S65" t="s">
        <v>84</v>
      </c>
      <c r="AT65">
        <f>SUM(AT62:AT64)</f>
        <v>1.0010000000000001</v>
      </c>
      <c r="AV65">
        <f t="shared" ref="AV65" si="25">SUM(AV62:AV64)</f>
        <v>9.8000000000000004E-2</v>
      </c>
      <c r="AW65">
        <f t="shared" ref="AW65" si="26">SUM(AW62:AW64)</f>
        <v>0.35899999999999999</v>
      </c>
      <c r="AX65">
        <f t="shared" ref="AX65" si="27">SUM(AX62:AX64)</f>
        <v>0.54400000000000004</v>
      </c>
    </row>
    <row r="66" spans="1:50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S66" t="s">
        <v>85</v>
      </c>
      <c r="AV66">
        <f>AV65/$AT65*100</f>
        <v>9.7902097902097882</v>
      </c>
      <c r="AW66">
        <f>AW65/$AT$17*100</f>
        <v>35.9</v>
      </c>
      <c r="AX66">
        <f>AX65/$AT$17*100</f>
        <v>54.400000000000006</v>
      </c>
    </row>
    <row r="67" spans="1:50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</row>
    <row r="68" spans="1:50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O68">
        <v>39</v>
      </c>
      <c r="AQ68">
        <v>1.7178E-3</v>
      </c>
      <c r="AR68">
        <v>4.617E-4</v>
      </c>
      <c r="AS68" t="s">
        <v>86</v>
      </c>
      <c r="AT68">
        <v>0.41499999999999998</v>
      </c>
      <c r="AU68">
        <v>3</v>
      </c>
      <c r="AW68">
        <v>0.41499999999999998</v>
      </c>
    </row>
    <row r="69" spans="1:50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S69" t="s">
        <v>87</v>
      </c>
      <c r="AT69">
        <v>0.47099999999999997</v>
      </c>
      <c r="AU69">
        <v>4</v>
      </c>
      <c r="AX69">
        <v>0.47099999999999997</v>
      </c>
    </row>
    <row r="70" spans="1:50" ht="16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S70" s="3" t="s">
        <v>82</v>
      </c>
      <c r="AT70" s="3">
        <v>0.114</v>
      </c>
      <c r="AU70">
        <v>2</v>
      </c>
      <c r="AV70" s="3">
        <v>0.114</v>
      </c>
    </row>
    <row r="71" spans="1:50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S71" t="s">
        <v>84</v>
      </c>
      <c r="AT71">
        <f>SUM(AT68:AT70)</f>
        <v>0.99999999999999989</v>
      </c>
      <c r="AV71">
        <f t="shared" ref="AV71" si="28">SUM(AV68:AV70)</f>
        <v>0.114</v>
      </c>
      <c r="AW71">
        <f t="shared" ref="AW71" si="29">SUM(AW68:AW70)</f>
        <v>0.41499999999999998</v>
      </c>
      <c r="AX71">
        <f t="shared" ref="AX71" si="30">SUM(AX68:AX70)</f>
        <v>0.47099999999999997</v>
      </c>
    </row>
    <row r="72" spans="1:50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S72" t="s">
        <v>85</v>
      </c>
      <c r="AV72">
        <f>AV71/$AT71*100</f>
        <v>11.400000000000002</v>
      </c>
      <c r="AW72">
        <f>AW71/$AT$17*100</f>
        <v>41.5</v>
      </c>
      <c r="AX72">
        <f>AX71/$AT$17*100</f>
        <v>47.099999999999994</v>
      </c>
    </row>
    <row r="73" spans="1:50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</row>
    <row r="74" spans="1:50" ht="14.5" customHeight="1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O74">
        <v>42</v>
      </c>
      <c r="AQ74">
        <v>1.0123E-3</v>
      </c>
      <c r="AR74">
        <v>2.7740000000000002E-4</v>
      </c>
      <c r="AS74" s="3" t="s">
        <v>86</v>
      </c>
      <c r="AT74" s="3">
        <v>0.375</v>
      </c>
      <c r="AU74">
        <v>3</v>
      </c>
      <c r="AW74" s="3">
        <v>0.375</v>
      </c>
    </row>
    <row r="75" spans="1:50" ht="16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S75" s="3" t="s">
        <v>87</v>
      </c>
      <c r="AT75" s="3">
        <v>0.52600000000000002</v>
      </c>
      <c r="AU75">
        <v>4</v>
      </c>
      <c r="AX75" s="3">
        <v>0.52600000000000002</v>
      </c>
    </row>
    <row r="76" spans="1:50" ht="16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S76" s="3" t="s">
        <v>82</v>
      </c>
      <c r="AT76" s="3">
        <v>0.1</v>
      </c>
      <c r="AU76">
        <v>2</v>
      </c>
      <c r="AV76" s="3">
        <v>0.1</v>
      </c>
    </row>
    <row r="77" spans="1:50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S77" t="s">
        <v>84</v>
      </c>
      <c r="AT77">
        <f>SUM(AT74:AT76)</f>
        <v>1.0010000000000001</v>
      </c>
      <c r="AV77">
        <f t="shared" ref="AV77" si="31">SUM(AV74:AV76)</f>
        <v>0.1</v>
      </c>
      <c r="AW77">
        <f t="shared" ref="AW77" si="32">SUM(AW74:AW76)</f>
        <v>0.375</v>
      </c>
      <c r="AX77">
        <f t="shared" ref="AX77" si="33">SUM(AX74:AX76)</f>
        <v>0.52600000000000002</v>
      </c>
    </row>
    <row r="78" spans="1:50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S78" t="s">
        <v>85</v>
      </c>
      <c r="AV78">
        <f>AV77/$AT77*100</f>
        <v>9.9900099900099892</v>
      </c>
      <c r="AW78">
        <f>AW77/$AT$17*100</f>
        <v>37.5</v>
      </c>
      <c r="AX78">
        <f>AX77/$AT$17*100</f>
        <v>52.6</v>
      </c>
    </row>
    <row r="79" spans="1:50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</row>
    <row r="80" spans="1:50" ht="15" customHeight="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O80">
        <v>44</v>
      </c>
      <c r="AQ80">
        <v>1.1087E-3</v>
      </c>
      <c r="AR80" s="3">
        <v>3.0130000000000001E-4</v>
      </c>
      <c r="AS80" s="3" t="s">
        <v>86</v>
      </c>
      <c r="AT80" s="3">
        <v>0.41699999999999998</v>
      </c>
      <c r="AU80">
        <v>3</v>
      </c>
      <c r="AW80" s="3">
        <v>0.41699999999999998</v>
      </c>
    </row>
    <row r="81" spans="1:56" ht="16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S81" s="3" t="s">
        <v>87</v>
      </c>
      <c r="AT81" s="3">
        <v>0.48199999999999998</v>
      </c>
      <c r="AU81">
        <v>4</v>
      </c>
      <c r="AX81" s="3">
        <v>0.48199999999999998</v>
      </c>
    </row>
    <row r="82" spans="1:56" ht="16" x14ac:dyDescent="0.2">
      <c r="AP82" s="3"/>
      <c r="AQ82" s="3"/>
      <c r="AS82" s="3" t="s">
        <v>82</v>
      </c>
      <c r="AT82" s="3">
        <v>0.10199999999999999</v>
      </c>
      <c r="AU82">
        <v>2</v>
      </c>
      <c r="AV82" s="3">
        <v>0.10199999999999999</v>
      </c>
      <c r="AW82" s="3"/>
      <c r="AX82" s="3"/>
      <c r="AY82" s="3"/>
      <c r="AZ82" s="3"/>
      <c r="BA82" s="3"/>
      <c r="BB82" s="3"/>
      <c r="BC82" s="3"/>
      <c r="BD82" s="3"/>
    </row>
    <row r="83" spans="1:56" x14ac:dyDescent="0.2">
      <c r="A83" s="6" t="s">
        <v>58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T83" s="6" t="s">
        <v>72</v>
      </c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M83" s="3"/>
      <c r="AN83" s="3"/>
      <c r="AP83" s="3"/>
      <c r="AQ83" s="3"/>
      <c r="AR83" s="3"/>
      <c r="AS83" t="s">
        <v>84</v>
      </c>
      <c r="AT83">
        <f>SUM(AT80:AT82)</f>
        <v>1.0010000000000001</v>
      </c>
      <c r="AV83">
        <f t="shared" ref="AV83" si="34">SUM(AV80:AV82)</f>
        <v>0.10199999999999999</v>
      </c>
      <c r="AW83">
        <f t="shared" ref="AW83" si="35">SUM(AW80:AW82)</f>
        <v>0.41699999999999998</v>
      </c>
      <c r="AX83">
        <f t="shared" ref="AX83" si="36">SUM(AX80:AX82)</f>
        <v>0.48199999999999998</v>
      </c>
      <c r="AY83" s="3"/>
      <c r="AZ83" s="3"/>
      <c r="BA83" s="3"/>
      <c r="BB83" s="3"/>
      <c r="BC83" s="3"/>
      <c r="BD83" s="3"/>
    </row>
    <row r="84" spans="1:56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M84" s="3"/>
      <c r="AN84" s="3"/>
      <c r="AP84" s="3"/>
      <c r="AQ84" s="3"/>
      <c r="AR84" s="3"/>
      <c r="AS84" t="s">
        <v>85</v>
      </c>
      <c r="AV84">
        <f>AV83/$AT83*100</f>
        <v>10.189810189810187</v>
      </c>
      <c r="AW84">
        <f>AW83/$AT$17*100</f>
        <v>41.699999999999996</v>
      </c>
      <c r="AX84">
        <f>AX83/$AT$17*100</f>
        <v>48.199999999999996</v>
      </c>
      <c r="AY84" s="3"/>
      <c r="AZ84" s="3"/>
      <c r="BA84" s="3"/>
      <c r="BB84" s="3"/>
      <c r="BC84" s="3"/>
      <c r="BD84" s="3"/>
    </row>
    <row r="85" spans="1:56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M85" s="3"/>
      <c r="AN85" s="3"/>
      <c r="AP85" s="3"/>
      <c r="AQ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</row>
    <row r="86" spans="1:56" ht="14.5" customHeight="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M86" s="3"/>
      <c r="AN86" s="3"/>
      <c r="AO86">
        <v>45</v>
      </c>
      <c r="AP86" s="3"/>
      <c r="AQ86" s="3">
        <v>1.2606E-3</v>
      </c>
      <c r="AR86" s="3">
        <v>3.435E-4</v>
      </c>
      <c r="AS86" s="3" t="s">
        <v>86</v>
      </c>
      <c r="AT86" s="3">
        <v>0.33500000000000002</v>
      </c>
      <c r="AU86">
        <v>3</v>
      </c>
      <c r="AV86" s="3"/>
      <c r="AW86" s="3">
        <v>0.33500000000000002</v>
      </c>
      <c r="AX86" s="3"/>
      <c r="AY86" s="3"/>
      <c r="AZ86" s="3"/>
      <c r="BA86" s="3"/>
      <c r="BB86" s="3"/>
      <c r="BC86" s="3"/>
      <c r="BD86" s="3"/>
    </row>
    <row r="87" spans="1:56" ht="16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M87" s="3"/>
      <c r="AN87" s="3"/>
      <c r="AP87" s="3"/>
      <c r="AQ87" s="3"/>
      <c r="AS87" s="3" t="s">
        <v>87</v>
      </c>
      <c r="AT87" s="3">
        <v>0.58899999999999997</v>
      </c>
      <c r="AU87">
        <v>4</v>
      </c>
      <c r="AV87" s="3"/>
      <c r="AW87" s="3"/>
      <c r="AX87" s="3">
        <v>0.58899999999999997</v>
      </c>
      <c r="AY87" s="3"/>
      <c r="AZ87" s="3"/>
      <c r="BA87" s="3"/>
      <c r="BB87" s="3"/>
      <c r="BC87" s="3"/>
      <c r="BD87" s="3"/>
    </row>
    <row r="88" spans="1:56" ht="16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M88" s="3"/>
      <c r="AN88" s="3"/>
      <c r="AP88" s="3"/>
      <c r="AQ88" s="3"/>
      <c r="AR88" s="3"/>
      <c r="AS88" s="3" t="s">
        <v>82</v>
      </c>
      <c r="AT88" s="3">
        <v>7.5999999999999998E-2</v>
      </c>
      <c r="AU88">
        <v>2</v>
      </c>
      <c r="AV88" s="3">
        <v>7.5999999999999998E-2</v>
      </c>
      <c r="AW88" s="3"/>
      <c r="AX88" s="3"/>
      <c r="AY88" s="3"/>
      <c r="AZ88" s="3"/>
      <c r="BA88" s="3"/>
      <c r="BB88" s="3"/>
      <c r="BC88" s="3"/>
      <c r="BD88" s="3"/>
    </row>
    <row r="89" spans="1:56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M89" s="3"/>
      <c r="AN89" s="3"/>
      <c r="AP89" s="3"/>
      <c r="AQ89" s="3"/>
      <c r="AR89" s="3"/>
      <c r="AS89" t="s">
        <v>84</v>
      </c>
      <c r="AT89">
        <f>SUM(AT86:AT88)</f>
        <v>0.99999999999999989</v>
      </c>
      <c r="AV89">
        <f t="shared" ref="AV89" si="37">SUM(AV86:AV88)</f>
        <v>7.5999999999999998E-2</v>
      </c>
      <c r="AW89">
        <f t="shared" ref="AW89" si="38">SUM(AW86:AW88)</f>
        <v>0.33500000000000002</v>
      </c>
      <c r="AX89">
        <f t="shared" ref="AX89" si="39">SUM(AX86:AX88)</f>
        <v>0.58899999999999997</v>
      </c>
      <c r="AY89" s="3"/>
      <c r="AZ89" s="3"/>
      <c r="BA89" s="3"/>
      <c r="BB89" s="3"/>
      <c r="BC89" s="3"/>
      <c r="BD89" s="3"/>
    </row>
    <row r="90" spans="1:56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M90" s="3"/>
      <c r="AN90" s="3"/>
      <c r="AP90" s="3"/>
      <c r="AQ90" s="3"/>
      <c r="AR90" s="3"/>
      <c r="AS90" t="s">
        <v>85</v>
      </c>
      <c r="AV90">
        <f>AV89/$AT89*100</f>
        <v>7.6000000000000014</v>
      </c>
      <c r="AW90">
        <f>AW89/$AT$17*100</f>
        <v>33.5</v>
      </c>
      <c r="AX90">
        <f>AX89/$AT$17*100</f>
        <v>58.9</v>
      </c>
      <c r="AY90" s="3"/>
      <c r="AZ90" s="3"/>
      <c r="BA90" s="3"/>
      <c r="BB90" s="3"/>
      <c r="BC90" s="3"/>
      <c r="BD90" s="3"/>
    </row>
    <row r="91" spans="1:56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M91" s="3"/>
      <c r="AN91" s="3"/>
      <c r="AP91" s="3"/>
      <c r="AQ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</row>
    <row r="92" spans="1:56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M92" s="3"/>
      <c r="AN92" s="3"/>
      <c r="AP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</row>
    <row r="93" spans="1:56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M93" s="3"/>
      <c r="AN93" s="3"/>
      <c r="AP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</row>
    <row r="94" spans="1:56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M94" s="3"/>
      <c r="AN94" s="3"/>
      <c r="AP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</row>
    <row r="95" spans="1:56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M95" s="3"/>
      <c r="AN95" s="3"/>
      <c r="AP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</row>
    <row r="96" spans="1:56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M96" s="3"/>
      <c r="AN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</row>
    <row r="97" spans="1:56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M97" s="3"/>
      <c r="AN97" s="3"/>
      <c r="AP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</row>
    <row r="98" spans="1:56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M98" s="3"/>
      <c r="AN98" s="3"/>
      <c r="AP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</row>
    <row r="99" spans="1:56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M99" s="3"/>
      <c r="AN99" s="3"/>
      <c r="AP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</row>
    <row r="100" spans="1:56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M100" s="3"/>
      <c r="AN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</row>
    <row r="101" spans="1:56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M101" s="3"/>
      <c r="AN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</row>
    <row r="102" spans="1:56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M102" s="3"/>
      <c r="AN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</row>
    <row r="103" spans="1:56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M103" s="3"/>
      <c r="AN103" s="3"/>
    </row>
    <row r="105" spans="1:56" x14ac:dyDescent="0.2">
      <c r="A105" s="6" t="s">
        <v>59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T105" s="6" t="s">
        <v>73</v>
      </c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</row>
    <row r="106" spans="1:56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</row>
    <row r="107" spans="1:56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</row>
    <row r="108" spans="1:56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</row>
    <row r="109" spans="1:56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</row>
    <row r="110" spans="1:56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</row>
    <row r="111" spans="1:56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</row>
    <row r="112" spans="1:56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</row>
    <row r="113" spans="1:37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</row>
    <row r="114" spans="1:37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</row>
    <row r="115" spans="1:37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</row>
    <row r="116" spans="1:37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</row>
    <row r="117" spans="1:37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</row>
    <row r="118" spans="1:37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</row>
    <row r="119" spans="1:37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</row>
    <row r="120" spans="1:37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</row>
    <row r="121" spans="1:37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</row>
    <row r="122" spans="1:37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</row>
    <row r="123" spans="1:37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</row>
    <row r="124" spans="1:37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</row>
    <row r="125" spans="1:37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</row>
    <row r="127" spans="1:37" x14ac:dyDescent="0.2">
      <c r="A127" s="6" t="s">
        <v>60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T127" s="6" t="s">
        <v>74</v>
      </c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</row>
    <row r="128" spans="1:37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</row>
    <row r="129" spans="1:37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</row>
    <row r="130" spans="1:37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</row>
    <row r="131" spans="1:37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</row>
    <row r="132" spans="1:37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</row>
    <row r="133" spans="1:37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</row>
    <row r="134" spans="1:37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</row>
    <row r="135" spans="1:37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</row>
    <row r="136" spans="1:37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</row>
    <row r="137" spans="1:37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</row>
    <row r="138" spans="1:37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</row>
    <row r="139" spans="1:37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</row>
    <row r="140" spans="1:37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</row>
    <row r="141" spans="1:37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</row>
    <row r="142" spans="1:37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</row>
    <row r="143" spans="1:37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</row>
    <row r="144" spans="1:37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</row>
    <row r="145" spans="1:4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</row>
    <row r="146" spans="1:4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</row>
    <row r="147" spans="1:4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O147" s="3"/>
    </row>
    <row r="148" spans="1:41" x14ac:dyDescent="0.2">
      <c r="AO148" s="3"/>
    </row>
    <row r="149" spans="1:41" x14ac:dyDescent="0.2">
      <c r="A149" s="6" t="s">
        <v>61</v>
      </c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T149" s="6" t="s">
        <v>75</v>
      </c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O149" s="3"/>
    </row>
    <row r="150" spans="1:4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O150" s="3"/>
    </row>
    <row r="151" spans="1:4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O151" s="3"/>
    </row>
    <row r="152" spans="1:4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O152" s="3"/>
    </row>
    <row r="153" spans="1:4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O153" s="3"/>
    </row>
    <row r="154" spans="1:4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O154" s="3"/>
    </row>
    <row r="155" spans="1:4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O155" s="3"/>
    </row>
    <row r="156" spans="1:4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O156" s="3"/>
    </row>
    <row r="157" spans="1:4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O157" s="3"/>
    </row>
    <row r="158" spans="1:4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O158" s="3"/>
    </row>
    <row r="159" spans="1:4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O159" s="3"/>
    </row>
    <row r="160" spans="1:4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O160" s="3"/>
    </row>
    <row r="161" spans="1:4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O161" s="3"/>
    </row>
    <row r="162" spans="1:4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O162" s="3"/>
    </row>
    <row r="163" spans="1:4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O163" s="3"/>
    </row>
    <row r="164" spans="1:4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O164" s="3"/>
    </row>
    <row r="165" spans="1:4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O165" s="3"/>
    </row>
    <row r="166" spans="1:4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O166" s="3"/>
    </row>
    <row r="167" spans="1:4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O167" s="3"/>
    </row>
    <row r="168" spans="1:4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</row>
    <row r="169" spans="1:4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</row>
    <row r="171" spans="1:41" x14ac:dyDescent="0.2">
      <c r="A171" s="6" t="s">
        <v>62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T171" s="6" t="s">
        <v>76</v>
      </c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</row>
    <row r="172" spans="1:4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</row>
    <row r="173" spans="1:4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</row>
    <row r="174" spans="1:4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</row>
    <row r="175" spans="1:4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</row>
    <row r="176" spans="1:4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</row>
    <row r="177" spans="1:37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</row>
    <row r="178" spans="1:37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</row>
    <row r="179" spans="1:37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</row>
    <row r="180" spans="1:37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</row>
    <row r="181" spans="1:37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</row>
    <row r="182" spans="1:37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</row>
    <row r="183" spans="1:37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</row>
    <row r="184" spans="1:37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</row>
    <row r="185" spans="1:37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</row>
    <row r="186" spans="1:37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</row>
    <row r="187" spans="1:37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</row>
    <row r="188" spans="1:37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</row>
    <row r="189" spans="1:37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</row>
    <row r="190" spans="1:37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</row>
    <row r="191" spans="1:37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</row>
    <row r="193" spans="1:18" x14ac:dyDescent="0.2">
      <c r="A193" s="6" t="s">
        <v>63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spans="1:18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spans="1:18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spans="1:18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spans="1:18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spans="1:18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spans="1:18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spans="1:18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spans="1:18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spans="1:18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spans="1:18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spans="1:18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spans="1:18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spans="1:18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spans="1:18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spans="1:18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spans="1:18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spans="1:18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spans="1:18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spans="1:18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spans="1:18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5" spans="1:18" x14ac:dyDescent="0.2">
      <c r="A215" s="6" t="s">
        <v>64</v>
      </c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spans="1:18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spans="1:18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spans="1:18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spans="1:18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spans="1:18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spans="1:18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</row>
    <row r="222" spans="1:18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</row>
    <row r="223" spans="1:18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</row>
    <row r="224" spans="1:18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</row>
    <row r="225" spans="1:18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</row>
    <row r="226" spans="1:18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</row>
    <row r="227" spans="1:18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 spans="1:18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</row>
    <row r="229" spans="1:18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 spans="1:18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</row>
    <row r="231" spans="1:18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</row>
    <row r="232" spans="1:18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</row>
    <row r="233" spans="1:18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 spans="1:18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spans="1:18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</row>
    <row r="237" spans="1:18" x14ac:dyDescent="0.2">
      <c r="A237" s="6" t="s">
        <v>65</v>
      </c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 spans="1:18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 spans="1:18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</row>
    <row r="240" spans="1:18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 spans="1:18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 spans="1:18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 spans="1:18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 spans="1:18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</row>
    <row r="245" spans="1:18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</row>
    <row r="246" spans="1:18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</row>
    <row r="247" spans="1:18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</row>
    <row r="248" spans="1:18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</row>
    <row r="249" spans="1:18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</row>
    <row r="250" spans="1:18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</row>
    <row r="251" spans="1:18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</row>
    <row r="252" spans="1:18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</row>
    <row r="253" spans="1:18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</row>
    <row r="254" spans="1:18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</row>
    <row r="255" spans="1:18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</row>
    <row r="256" spans="1:18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 spans="1:18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</row>
    <row r="259" spans="1:18" x14ac:dyDescent="0.2">
      <c r="A259" s="6" t="s">
        <v>66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</row>
    <row r="260" spans="1:18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</row>
    <row r="261" spans="1:18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</row>
    <row r="262" spans="1:18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</row>
    <row r="263" spans="1:18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</row>
    <row r="264" spans="1:18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</row>
    <row r="265" spans="1:18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</row>
    <row r="266" spans="1:18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</row>
    <row r="267" spans="1:18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</row>
    <row r="268" spans="1:18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</row>
    <row r="269" spans="1:18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</row>
    <row r="270" spans="1:18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</row>
    <row r="271" spans="1:18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</row>
    <row r="272" spans="1:18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</row>
    <row r="273" spans="1:18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</row>
    <row r="274" spans="1:18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</row>
    <row r="275" spans="1:18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</row>
    <row r="276" spans="1:18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</row>
    <row r="277" spans="1:18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</row>
    <row r="278" spans="1:18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</row>
    <row r="279" spans="1:18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</row>
    <row r="281" spans="1:18" x14ac:dyDescent="0.2">
      <c r="A281" s="6" t="s">
        <v>67</v>
      </c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</row>
    <row r="282" spans="1:18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</row>
    <row r="283" spans="1:18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</row>
    <row r="284" spans="1:18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</row>
    <row r="285" spans="1:18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</row>
    <row r="286" spans="1:18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</row>
    <row r="287" spans="1:18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</row>
    <row r="288" spans="1:18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</row>
    <row r="289" spans="1:18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</row>
    <row r="290" spans="1:18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</row>
    <row r="291" spans="1:18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</row>
    <row r="292" spans="1:18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</row>
    <row r="293" spans="1:18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</row>
    <row r="294" spans="1:18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</row>
    <row r="295" spans="1:18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</row>
    <row r="296" spans="1:18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</row>
    <row r="297" spans="1:18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</row>
    <row r="298" spans="1:18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</row>
    <row r="299" spans="1:18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</row>
    <row r="300" spans="1:18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</row>
    <row r="301" spans="1:18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</row>
    <row r="303" spans="1:18" x14ac:dyDescent="0.2">
      <c r="A303" s="6" t="s">
        <v>68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</row>
    <row r="304" spans="1:18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</row>
    <row r="305" spans="1:18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</row>
    <row r="306" spans="1:18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</row>
    <row r="307" spans="1:18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</row>
    <row r="308" spans="1:18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</row>
    <row r="309" spans="1:18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</row>
    <row r="310" spans="1:18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</row>
    <row r="311" spans="1:18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</row>
    <row r="312" spans="1:18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</row>
    <row r="313" spans="1:18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</row>
    <row r="314" spans="1:18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</row>
    <row r="315" spans="1:18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</row>
    <row r="316" spans="1:18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</row>
    <row r="317" spans="1:18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</row>
    <row r="318" spans="1:18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</row>
    <row r="319" spans="1:18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</row>
    <row r="320" spans="1:18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</row>
    <row r="321" spans="1:18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</row>
    <row r="322" spans="1:18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</row>
    <row r="323" spans="1:18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</row>
    <row r="325" spans="1:18" x14ac:dyDescent="0.2">
      <c r="A325" s="6" t="s">
        <v>69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</row>
    <row r="326" spans="1:18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</row>
    <row r="327" spans="1:18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</row>
    <row r="328" spans="1:18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</row>
    <row r="329" spans="1:18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</row>
    <row r="330" spans="1:18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</row>
    <row r="331" spans="1:18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</row>
    <row r="332" spans="1:18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</row>
    <row r="333" spans="1:18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</row>
    <row r="334" spans="1:18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</row>
    <row r="335" spans="1:18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</row>
    <row r="336" spans="1:18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</row>
    <row r="337" spans="1:18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</row>
    <row r="338" spans="1:18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</row>
    <row r="339" spans="1:18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</row>
    <row r="340" spans="1:18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</row>
    <row r="341" spans="1:18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</row>
    <row r="342" spans="1:18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</row>
    <row r="343" spans="1:18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</row>
    <row r="344" spans="1:18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</row>
    <row r="345" spans="1:18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</row>
    <row r="347" spans="1:18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</row>
    <row r="348" spans="1:18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</row>
    <row r="349" spans="1:18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</row>
    <row r="350" spans="1:18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</row>
    <row r="351" spans="1:18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</row>
    <row r="352" spans="1:18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</row>
    <row r="353" spans="1:18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</row>
    <row r="354" spans="1:18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</row>
    <row r="355" spans="1:18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</row>
    <row r="356" spans="1:18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</row>
    <row r="357" spans="1:18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</row>
    <row r="358" spans="1:18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</row>
    <row r="359" spans="1:18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</row>
    <row r="360" spans="1:18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</row>
    <row r="361" spans="1:18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</row>
    <row r="362" spans="1:18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</row>
    <row r="363" spans="1:18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</row>
    <row r="364" spans="1:18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</row>
    <row r="365" spans="1:18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</row>
    <row r="366" spans="1:18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</row>
    <row r="367" spans="1:18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</row>
  </sheetData>
  <mergeCells count="46">
    <mergeCell ref="A17:I37"/>
    <mergeCell ref="J17:R37"/>
    <mergeCell ref="A39:I59"/>
    <mergeCell ref="J39:R59"/>
    <mergeCell ref="A61:I81"/>
    <mergeCell ref="J61:R81"/>
    <mergeCell ref="A83:I103"/>
    <mergeCell ref="J83:R103"/>
    <mergeCell ref="A105:I125"/>
    <mergeCell ref="J105:R125"/>
    <mergeCell ref="A127:I147"/>
    <mergeCell ref="J127:R147"/>
    <mergeCell ref="A149:I169"/>
    <mergeCell ref="J149:R169"/>
    <mergeCell ref="A171:I191"/>
    <mergeCell ref="J171:R191"/>
    <mergeCell ref="A193:I213"/>
    <mergeCell ref="J193:R213"/>
    <mergeCell ref="A215:I235"/>
    <mergeCell ref="J215:R235"/>
    <mergeCell ref="A237:I257"/>
    <mergeCell ref="J237:R257"/>
    <mergeCell ref="A259:I279"/>
    <mergeCell ref="J259:R279"/>
    <mergeCell ref="A347:I367"/>
    <mergeCell ref="J347:R367"/>
    <mergeCell ref="T39:AB59"/>
    <mergeCell ref="AC39:AK59"/>
    <mergeCell ref="T61:AB81"/>
    <mergeCell ref="AC61:AK81"/>
    <mergeCell ref="T83:AB103"/>
    <mergeCell ref="AC83:AK103"/>
    <mergeCell ref="T105:AB125"/>
    <mergeCell ref="AC105:AK125"/>
    <mergeCell ref="A281:I301"/>
    <mergeCell ref="J281:R301"/>
    <mergeCell ref="A303:I323"/>
    <mergeCell ref="J303:R323"/>
    <mergeCell ref="A325:I345"/>
    <mergeCell ref="J325:R345"/>
    <mergeCell ref="T127:AB147"/>
    <mergeCell ref="AC127:AK147"/>
    <mergeCell ref="T149:AB169"/>
    <mergeCell ref="AC149:AK169"/>
    <mergeCell ref="T171:AB191"/>
    <mergeCell ref="AC171:AK191"/>
  </mergeCells>
  <conditionalFormatting sqref="AQ1:AQ1048576">
    <cfRule type="top10" dxfId="1" priority="1" rank="1"/>
  </conditionalFormatting>
  <conditionalFormatting sqref="AR1:AR1048576">
    <cfRule type="top10" dxfId="0" priority="2" rank="1"/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91759-01A6-4320-B386-456650E9A254}">
  <dimension ref="A1:AG314"/>
  <sheetViews>
    <sheetView topLeftCell="B1" workbookViewId="0">
      <selection activeCell="V32" sqref="V32"/>
    </sheetView>
  </sheetViews>
  <sheetFormatPr baseColWidth="10" defaultColWidth="8.83203125" defaultRowHeight="15" x14ac:dyDescent="0.2"/>
  <cols>
    <col min="21" max="22" width="17.33203125" customWidth="1"/>
    <col min="25" max="25" width="13.33203125" customWidth="1"/>
    <col min="26" max="26" width="18.1640625" customWidth="1"/>
    <col min="28" max="28" width="15.33203125" customWidth="1"/>
  </cols>
  <sheetData>
    <row r="1" spans="1:33" x14ac:dyDescent="0.2">
      <c r="A1" s="6" t="s">
        <v>15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U1" t="s">
        <v>41</v>
      </c>
      <c r="V1" t="s">
        <v>34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</row>
    <row r="2" spans="1:33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U2" t="s">
        <v>40</v>
      </c>
      <c r="V2">
        <v>23</v>
      </c>
    </row>
    <row r="3" spans="1:33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U3" t="s">
        <v>42</v>
      </c>
      <c r="V3">
        <v>34</v>
      </c>
    </row>
    <row r="4" spans="1:33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U4" t="s">
        <v>43</v>
      </c>
      <c r="V4">
        <v>2</v>
      </c>
    </row>
    <row r="5" spans="1:33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U5" t="s">
        <v>44</v>
      </c>
      <c r="V5">
        <v>2</v>
      </c>
    </row>
    <row r="6" spans="1:33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U6" t="s">
        <v>45</v>
      </c>
      <c r="V6">
        <v>2</v>
      </c>
    </row>
    <row r="7" spans="1:33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U7" t="s">
        <v>46</v>
      </c>
      <c r="V7">
        <v>2</v>
      </c>
    </row>
    <row r="8" spans="1:33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U8" t="s">
        <v>47</v>
      </c>
      <c r="V8">
        <v>3</v>
      </c>
    </row>
    <row r="9" spans="1:33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U9" t="s">
        <v>48</v>
      </c>
      <c r="V9">
        <v>3</v>
      </c>
    </row>
    <row r="10" spans="1:33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U10" t="s">
        <v>49</v>
      </c>
      <c r="V10">
        <v>4</v>
      </c>
    </row>
    <row r="11" spans="1:33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U11" t="s">
        <v>50</v>
      </c>
      <c r="V11">
        <v>4</v>
      </c>
    </row>
    <row r="12" spans="1:33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33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 spans="1:33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33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spans="1:33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spans="1:18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 spans="1:18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</row>
    <row r="19" spans="1:18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spans="1:18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2" spans="1:18" x14ac:dyDescent="0.2">
      <c r="A22" s="6" t="s">
        <v>16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spans="1:18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spans="1:18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18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1:18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spans="1:18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18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 spans="1:18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 spans="1:18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spans="1:18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8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1:18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3" spans="1:18" x14ac:dyDescent="0.2">
      <c r="A43" s="6" t="s">
        <v>17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1:18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1:18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1:18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spans="1:18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spans="1:18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1:18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1:18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spans="1:18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1:18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1:18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1:18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1:18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spans="1:18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spans="1:18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1:18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spans="1:18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1:18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4" spans="1:18" x14ac:dyDescent="0.2">
      <c r="A64" s="6" t="s">
        <v>18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spans="1:18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1:18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1:18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1:18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1:18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1:18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1:18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1:18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spans="1:18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spans="1:18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spans="1:18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 spans="1:18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spans="1:18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spans="1:18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spans="1:18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 spans="1:18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spans="1:18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spans="1:18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spans="1:18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</row>
    <row r="85" spans="1:18" x14ac:dyDescent="0.2">
      <c r="A85" s="6" t="s">
        <v>19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1:18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1:18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1:18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spans="1:18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1:18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1:18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spans="1:18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spans="1:18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1:18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spans="1:18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spans="1:18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1:18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spans="1:18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spans="1:18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spans="1:18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spans="1:18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spans="1:18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spans="1:18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spans="1:18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6" spans="1:18" x14ac:dyDescent="0.2">
      <c r="A106" s="6" t="s">
        <v>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spans="1:18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spans="1:18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spans="1:18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spans="1:18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spans="1:18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spans="1:18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spans="1:18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spans="1:18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spans="1:18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spans="1:18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spans="1:18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spans="1:18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spans="1:18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spans="1:18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spans="1:18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spans="1:18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spans="1:18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spans="1:18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spans="1:18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7" spans="1:18" x14ac:dyDescent="0.2">
      <c r="A127" s="6" t="s">
        <v>21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spans="1:18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spans="1:18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1:18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spans="1:18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1:18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spans="1:18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spans="1:18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1:18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1:18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1:18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1:18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1:18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1:18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spans="1:18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1:18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spans="1:18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spans="1:18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1:18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spans="1:18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8" spans="1:18" x14ac:dyDescent="0.2">
      <c r="A148" s="6" t="s">
        <v>22</v>
      </c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spans="1:18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spans="1:18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spans="1:18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spans="1:18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spans="1:18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spans="1:18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spans="1:18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spans="1:18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spans="1:18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spans="1:18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spans="1:18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spans="1:18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spans="1:18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spans="1:18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spans="1:18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spans="1:18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spans="1:18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1:18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spans="1:18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9" spans="1:18" x14ac:dyDescent="0.2">
      <c r="A169" s="6" t="s">
        <v>23</v>
      </c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spans="1:18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spans="1:18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spans="1:18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spans="1:18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spans="1:18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spans="1:18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spans="1:18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1:18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spans="1:18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spans="1:18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spans="1:18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spans="1:18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spans="1:18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spans="1:18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1:18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spans="1:18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spans="1:18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spans="1:18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1:18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90" spans="1:18" x14ac:dyDescent="0.2">
      <c r="A190" s="6" t="s">
        <v>24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spans="1:18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spans="1:18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spans="1:18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spans="1:18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spans="1:18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spans="1:18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spans="1:18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spans="1:18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spans="1:18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spans="1:18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spans="1:18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spans="1:18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spans="1:18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spans="1:18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spans="1:18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spans="1:18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spans="1:18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spans="1:18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spans="1:18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1" spans="1:18" x14ac:dyDescent="0.2">
      <c r="A211" s="6" t="s">
        <v>25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spans="1:18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spans="1:18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spans="1:18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spans="1:18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spans="1:18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spans="1:18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spans="1:18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spans="1:18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spans="1:18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spans="1:18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</row>
    <row r="222" spans="1:18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</row>
    <row r="223" spans="1:18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</row>
    <row r="224" spans="1:18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</row>
    <row r="225" spans="1:18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</row>
    <row r="226" spans="1:18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</row>
    <row r="227" spans="1:18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</row>
    <row r="228" spans="1:18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</row>
    <row r="229" spans="1:18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</row>
    <row r="230" spans="1:18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</row>
    <row r="232" spans="1:18" x14ac:dyDescent="0.2">
      <c r="A232" s="6" t="s">
        <v>26</v>
      </c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</row>
    <row r="233" spans="1:18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</row>
    <row r="234" spans="1:18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</row>
    <row r="235" spans="1:18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</row>
    <row r="236" spans="1:18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</row>
    <row r="237" spans="1:18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</row>
    <row r="238" spans="1:18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</row>
    <row r="239" spans="1:18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</row>
    <row r="240" spans="1:18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</row>
    <row r="241" spans="1:18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</row>
    <row r="242" spans="1:18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</row>
    <row r="243" spans="1:18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</row>
    <row r="244" spans="1:18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</row>
    <row r="245" spans="1:18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</row>
    <row r="246" spans="1:18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</row>
    <row r="247" spans="1:18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</row>
    <row r="248" spans="1:18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</row>
    <row r="249" spans="1:18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</row>
    <row r="250" spans="1:18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</row>
    <row r="251" spans="1:18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</row>
    <row r="253" spans="1:18" x14ac:dyDescent="0.2">
      <c r="A253" s="6" t="s">
        <v>27</v>
      </c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</row>
    <row r="254" spans="1:18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</row>
    <row r="255" spans="1:18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</row>
    <row r="256" spans="1:18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</row>
    <row r="257" spans="1:18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</row>
    <row r="258" spans="1:18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</row>
    <row r="259" spans="1:18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</row>
    <row r="260" spans="1:18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</row>
    <row r="261" spans="1:18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</row>
    <row r="262" spans="1:18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</row>
    <row r="263" spans="1:18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</row>
    <row r="264" spans="1:18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</row>
    <row r="265" spans="1:18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</row>
    <row r="266" spans="1:18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</row>
    <row r="267" spans="1:18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</row>
    <row r="268" spans="1:18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</row>
    <row r="269" spans="1:18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</row>
    <row r="270" spans="1:18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</row>
    <row r="271" spans="1:18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</row>
    <row r="272" spans="1:18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</row>
    <row r="274" spans="1:18" x14ac:dyDescent="0.2">
      <c r="A274" s="6" t="s">
        <v>28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</row>
    <row r="275" spans="1:18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</row>
    <row r="276" spans="1:18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</row>
    <row r="277" spans="1:18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</row>
    <row r="278" spans="1:18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</row>
    <row r="279" spans="1:18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</row>
    <row r="280" spans="1:18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</row>
    <row r="281" spans="1:18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</row>
    <row r="282" spans="1:18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</row>
    <row r="283" spans="1:18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</row>
    <row r="284" spans="1:18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</row>
    <row r="285" spans="1:18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</row>
    <row r="286" spans="1:18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</row>
    <row r="287" spans="1:18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</row>
    <row r="288" spans="1:18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</row>
    <row r="289" spans="1:18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</row>
    <row r="290" spans="1:18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</row>
    <row r="291" spans="1:18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</row>
    <row r="292" spans="1:18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</row>
    <row r="293" spans="1:18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</row>
    <row r="295" spans="1:18" x14ac:dyDescent="0.2">
      <c r="A295" s="6" t="s">
        <v>29</v>
      </c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</row>
    <row r="296" spans="1:18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</row>
    <row r="297" spans="1:18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</row>
    <row r="298" spans="1:18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</row>
    <row r="299" spans="1:18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</row>
    <row r="300" spans="1:18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</row>
    <row r="301" spans="1:18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</row>
    <row r="302" spans="1:18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</row>
    <row r="303" spans="1:18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</row>
    <row r="304" spans="1:18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</row>
    <row r="305" spans="1:18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</row>
    <row r="306" spans="1:18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</row>
    <row r="307" spans="1:18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</row>
    <row r="308" spans="1:18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</row>
    <row r="309" spans="1:18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</row>
    <row r="310" spans="1:18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</row>
    <row r="311" spans="1:18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</row>
    <row r="312" spans="1:18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</row>
    <row r="313" spans="1:18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</row>
    <row r="314" spans="1:18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</row>
  </sheetData>
  <mergeCells count="30">
    <mergeCell ref="A1:I20"/>
    <mergeCell ref="J1:R20"/>
    <mergeCell ref="A22:I41"/>
    <mergeCell ref="J22:R41"/>
    <mergeCell ref="A43:I62"/>
    <mergeCell ref="J43:R62"/>
    <mergeCell ref="A64:I83"/>
    <mergeCell ref="J64:R83"/>
    <mergeCell ref="A85:I104"/>
    <mergeCell ref="J85:R104"/>
    <mergeCell ref="A106:I125"/>
    <mergeCell ref="J106:R125"/>
    <mergeCell ref="A127:I146"/>
    <mergeCell ref="J127:R146"/>
    <mergeCell ref="A148:I167"/>
    <mergeCell ref="J148:R167"/>
    <mergeCell ref="A169:I188"/>
    <mergeCell ref="J169:R188"/>
    <mergeCell ref="A190:I209"/>
    <mergeCell ref="J190:R209"/>
    <mergeCell ref="A211:I230"/>
    <mergeCell ref="J211:R230"/>
    <mergeCell ref="A232:I251"/>
    <mergeCell ref="J232:R251"/>
    <mergeCell ref="A253:I272"/>
    <mergeCell ref="J253:R272"/>
    <mergeCell ref="A274:I293"/>
    <mergeCell ref="J274:R293"/>
    <mergeCell ref="A295:I314"/>
    <mergeCell ref="J295:R3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17649-FE26-4036-829A-0EB7130ED64E}">
  <dimension ref="A1:I18"/>
  <sheetViews>
    <sheetView workbookViewId="0">
      <selection sqref="A1:I18"/>
    </sheetView>
  </sheetViews>
  <sheetFormatPr baseColWidth="10" defaultColWidth="8.83203125" defaultRowHeight="15" x14ac:dyDescent="0.2"/>
  <sheetData>
    <row r="1" spans="1:9" x14ac:dyDescent="0.2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9" x14ac:dyDescent="0.2">
      <c r="A2" s="9"/>
      <c r="B2" s="9"/>
      <c r="C2" s="9"/>
      <c r="D2" s="9"/>
      <c r="E2" s="9"/>
      <c r="F2" s="9"/>
      <c r="G2" s="9"/>
      <c r="H2" s="9"/>
      <c r="I2" s="9"/>
    </row>
    <row r="3" spans="1:9" x14ac:dyDescent="0.2">
      <c r="A3" s="9"/>
      <c r="B3" s="9"/>
      <c r="C3" s="9"/>
      <c r="D3" s="9"/>
      <c r="E3" s="9"/>
      <c r="F3" s="9"/>
      <c r="G3" s="9"/>
      <c r="H3" s="9"/>
      <c r="I3" s="9"/>
    </row>
    <row r="4" spans="1:9" x14ac:dyDescent="0.2">
      <c r="A4" s="9"/>
      <c r="B4" s="9"/>
      <c r="C4" s="9"/>
      <c r="D4" s="9"/>
      <c r="E4" s="9"/>
      <c r="F4" s="9"/>
      <c r="G4" s="9"/>
      <c r="H4" s="9"/>
      <c r="I4" s="9"/>
    </row>
    <row r="5" spans="1:9" x14ac:dyDescent="0.2">
      <c r="A5" s="9"/>
      <c r="B5" s="9"/>
      <c r="C5" s="9"/>
      <c r="D5" s="9"/>
      <c r="E5" s="9"/>
      <c r="F5" s="9"/>
      <c r="G5" s="9"/>
      <c r="H5" s="9"/>
      <c r="I5" s="9"/>
    </row>
    <row r="6" spans="1:9" x14ac:dyDescent="0.2">
      <c r="A6" s="9"/>
      <c r="B6" s="9"/>
      <c r="C6" s="9"/>
      <c r="D6" s="9"/>
      <c r="E6" s="9"/>
      <c r="F6" s="9"/>
      <c r="G6" s="9"/>
      <c r="H6" s="9"/>
      <c r="I6" s="9"/>
    </row>
    <row r="7" spans="1:9" x14ac:dyDescent="0.2">
      <c r="A7" s="9"/>
      <c r="B7" s="9"/>
      <c r="C7" s="9"/>
      <c r="D7" s="9"/>
      <c r="E7" s="9"/>
      <c r="F7" s="9"/>
      <c r="G7" s="9"/>
      <c r="H7" s="9"/>
      <c r="I7" s="9"/>
    </row>
    <row r="8" spans="1:9" x14ac:dyDescent="0.2">
      <c r="A8" s="9"/>
      <c r="B8" s="9"/>
      <c r="C8" s="9"/>
      <c r="D8" s="9"/>
      <c r="E8" s="9"/>
      <c r="F8" s="9"/>
      <c r="G8" s="9"/>
      <c r="H8" s="9"/>
      <c r="I8" s="9"/>
    </row>
    <row r="9" spans="1:9" x14ac:dyDescent="0.2">
      <c r="A9" s="9"/>
      <c r="B9" s="9"/>
      <c r="C9" s="9"/>
      <c r="D9" s="9"/>
      <c r="E9" s="9"/>
      <c r="F9" s="9"/>
      <c r="G9" s="9"/>
      <c r="H9" s="9"/>
      <c r="I9" s="9"/>
    </row>
    <row r="10" spans="1:9" x14ac:dyDescent="0.2">
      <c r="A10" s="9"/>
      <c r="B10" s="9"/>
      <c r="C10" s="9"/>
      <c r="D10" s="9"/>
      <c r="E10" s="9"/>
      <c r="F10" s="9"/>
      <c r="G10" s="9"/>
      <c r="H10" s="9"/>
      <c r="I10" s="9"/>
    </row>
    <row r="11" spans="1:9" x14ac:dyDescent="0.2">
      <c r="A11" s="9"/>
      <c r="B11" s="9"/>
      <c r="C11" s="9"/>
      <c r="D11" s="9"/>
      <c r="E11" s="9"/>
      <c r="F11" s="9"/>
      <c r="G11" s="9"/>
      <c r="H11" s="9"/>
      <c r="I11" s="9"/>
    </row>
    <row r="12" spans="1:9" x14ac:dyDescent="0.2">
      <c r="A12" s="9"/>
      <c r="B12" s="9"/>
      <c r="C12" s="9"/>
      <c r="D12" s="9"/>
      <c r="E12" s="9"/>
      <c r="F12" s="9"/>
      <c r="G12" s="9"/>
      <c r="H12" s="9"/>
      <c r="I12" s="9"/>
    </row>
    <row r="13" spans="1:9" x14ac:dyDescent="0.2">
      <c r="A13" s="9"/>
      <c r="B13" s="9"/>
      <c r="C13" s="9"/>
      <c r="D13" s="9"/>
      <c r="E13" s="9"/>
      <c r="F13" s="9"/>
      <c r="G13" s="9"/>
      <c r="H13" s="9"/>
      <c r="I13" s="9"/>
    </row>
    <row r="14" spans="1:9" x14ac:dyDescent="0.2">
      <c r="A14" s="9"/>
      <c r="B14" s="9"/>
      <c r="C14" s="9"/>
      <c r="D14" s="9"/>
      <c r="E14" s="9"/>
      <c r="F14" s="9"/>
      <c r="G14" s="9"/>
      <c r="H14" s="9"/>
      <c r="I14" s="9"/>
    </row>
    <row r="15" spans="1:9" x14ac:dyDescent="0.2">
      <c r="A15" s="9"/>
      <c r="B15" s="9"/>
      <c r="C15" s="9"/>
      <c r="D15" s="9"/>
      <c r="E15" s="9"/>
      <c r="F15" s="9"/>
      <c r="G15" s="9"/>
      <c r="H15" s="9"/>
      <c r="I15" s="9"/>
    </row>
    <row r="16" spans="1:9" x14ac:dyDescent="0.2">
      <c r="A16" s="9"/>
      <c r="B16" s="9"/>
      <c r="C16" s="9"/>
      <c r="D16" s="9"/>
      <c r="E16" s="9"/>
      <c r="F16" s="9"/>
      <c r="G16" s="9"/>
      <c r="H16" s="9"/>
      <c r="I16" s="9"/>
    </row>
    <row r="17" spans="1:9" x14ac:dyDescent="0.2">
      <c r="A17" s="9"/>
      <c r="B17" s="9"/>
      <c r="C17" s="9"/>
      <c r="D17" s="9"/>
      <c r="E17" s="9"/>
      <c r="F17" s="9"/>
      <c r="G17" s="9"/>
      <c r="H17" s="9"/>
      <c r="I17" s="9"/>
    </row>
    <row r="18" spans="1:9" x14ac:dyDescent="0.2">
      <c r="A18" s="9"/>
      <c r="B18" s="9"/>
      <c r="C18" s="9"/>
      <c r="D18" s="9"/>
      <c r="E18" s="9"/>
      <c r="F18" s="9"/>
      <c r="G18" s="9"/>
      <c r="H18" s="9"/>
      <c r="I18" s="9"/>
    </row>
  </sheetData>
  <mergeCells count="1">
    <mergeCell ref="A1:I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EB309-C50F-4546-BC0D-D2304328DFD2}">
  <dimension ref="A1:I18"/>
  <sheetViews>
    <sheetView workbookViewId="0">
      <selection activeCell="K29" sqref="K29"/>
    </sheetView>
  </sheetViews>
  <sheetFormatPr baseColWidth="10" defaultColWidth="8.83203125" defaultRowHeight="15" x14ac:dyDescent="0.2"/>
  <sheetData>
    <row r="1" spans="1:9" x14ac:dyDescent="0.2">
      <c r="A1" s="8" t="s">
        <v>1</v>
      </c>
      <c r="B1" s="9"/>
      <c r="C1" s="9"/>
      <c r="D1" s="9"/>
      <c r="E1" s="9"/>
      <c r="F1" s="9"/>
      <c r="G1" s="9"/>
      <c r="H1" s="9"/>
      <c r="I1" s="9"/>
    </row>
    <row r="2" spans="1:9" x14ac:dyDescent="0.2">
      <c r="A2" s="9"/>
      <c r="B2" s="9"/>
      <c r="C2" s="9"/>
      <c r="D2" s="9"/>
      <c r="E2" s="9"/>
      <c r="F2" s="9"/>
      <c r="G2" s="9"/>
      <c r="H2" s="9"/>
      <c r="I2" s="9"/>
    </row>
    <row r="3" spans="1:9" x14ac:dyDescent="0.2">
      <c r="A3" s="9"/>
      <c r="B3" s="9"/>
      <c r="C3" s="9"/>
      <c r="D3" s="9"/>
      <c r="E3" s="9"/>
      <c r="F3" s="9"/>
      <c r="G3" s="9"/>
      <c r="H3" s="9"/>
      <c r="I3" s="9"/>
    </row>
    <row r="4" spans="1:9" x14ac:dyDescent="0.2">
      <c r="A4" s="9"/>
      <c r="B4" s="9"/>
      <c r="C4" s="9"/>
      <c r="D4" s="9"/>
      <c r="E4" s="9"/>
      <c r="F4" s="9"/>
      <c r="G4" s="9"/>
      <c r="H4" s="9"/>
      <c r="I4" s="9"/>
    </row>
    <row r="5" spans="1:9" x14ac:dyDescent="0.2">
      <c r="A5" s="9"/>
      <c r="B5" s="9"/>
      <c r="C5" s="9"/>
      <c r="D5" s="9"/>
      <c r="E5" s="9"/>
      <c r="F5" s="9"/>
      <c r="G5" s="9"/>
      <c r="H5" s="9"/>
      <c r="I5" s="9"/>
    </row>
    <row r="6" spans="1:9" x14ac:dyDescent="0.2">
      <c r="A6" s="9"/>
      <c r="B6" s="9"/>
      <c r="C6" s="9"/>
      <c r="D6" s="9"/>
      <c r="E6" s="9"/>
      <c r="F6" s="9"/>
      <c r="G6" s="9"/>
      <c r="H6" s="9"/>
      <c r="I6" s="9"/>
    </row>
    <row r="7" spans="1:9" x14ac:dyDescent="0.2">
      <c r="A7" s="9"/>
      <c r="B7" s="9"/>
      <c r="C7" s="9"/>
      <c r="D7" s="9"/>
      <c r="E7" s="9"/>
      <c r="F7" s="9"/>
      <c r="G7" s="9"/>
      <c r="H7" s="9"/>
      <c r="I7" s="9"/>
    </row>
    <row r="8" spans="1:9" x14ac:dyDescent="0.2">
      <c r="A8" s="9"/>
      <c r="B8" s="9"/>
      <c r="C8" s="9"/>
      <c r="D8" s="9"/>
      <c r="E8" s="9"/>
      <c r="F8" s="9"/>
      <c r="G8" s="9"/>
      <c r="H8" s="9"/>
      <c r="I8" s="9"/>
    </row>
    <row r="9" spans="1:9" x14ac:dyDescent="0.2">
      <c r="A9" s="9"/>
      <c r="B9" s="9"/>
      <c r="C9" s="9"/>
      <c r="D9" s="9"/>
      <c r="E9" s="9"/>
      <c r="F9" s="9"/>
      <c r="G9" s="9"/>
      <c r="H9" s="9"/>
      <c r="I9" s="9"/>
    </row>
    <row r="10" spans="1:9" x14ac:dyDescent="0.2">
      <c r="A10" s="9"/>
      <c r="B10" s="9"/>
      <c r="C10" s="9"/>
      <c r="D10" s="9"/>
      <c r="E10" s="9"/>
      <c r="F10" s="9"/>
      <c r="G10" s="9"/>
      <c r="H10" s="9"/>
      <c r="I10" s="9"/>
    </row>
    <row r="11" spans="1:9" x14ac:dyDescent="0.2">
      <c r="A11" s="9"/>
      <c r="B11" s="9"/>
      <c r="C11" s="9"/>
      <c r="D11" s="9"/>
      <c r="E11" s="9"/>
      <c r="F11" s="9"/>
      <c r="G11" s="9"/>
      <c r="H11" s="9"/>
      <c r="I11" s="9"/>
    </row>
    <row r="12" spans="1:9" x14ac:dyDescent="0.2">
      <c r="A12" s="9"/>
      <c r="B12" s="9"/>
      <c r="C12" s="9"/>
      <c r="D12" s="9"/>
      <c r="E12" s="9"/>
      <c r="F12" s="9"/>
      <c r="G12" s="9"/>
      <c r="H12" s="9"/>
      <c r="I12" s="9"/>
    </row>
    <row r="13" spans="1:9" x14ac:dyDescent="0.2">
      <c r="A13" s="9"/>
      <c r="B13" s="9"/>
      <c r="C13" s="9"/>
      <c r="D13" s="9"/>
      <c r="E13" s="9"/>
      <c r="F13" s="9"/>
      <c r="G13" s="9"/>
      <c r="H13" s="9"/>
      <c r="I13" s="9"/>
    </row>
    <row r="14" spans="1:9" x14ac:dyDescent="0.2">
      <c r="A14" s="9"/>
      <c r="B14" s="9"/>
      <c r="C14" s="9"/>
      <c r="D14" s="9"/>
      <c r="E14" s="9"/>
      <c r="F14" s="9"/>
      <c r="G14" s="9"/>
      <c r="H14" s="9"/>
      <c r="I14" s="9"/>
    </row>
    <row r="15" spans="1:9" x14ac:dyDescent="0.2">
      <c r="A15" s="9"/>
      <c r="B15" s="9"/>
      <c r="C15" s="9"/>
      <c r="D15" s="9"/>
      <c r="E15" s="9"/>
      <c r="F15" s="9"/>
      <c r="G15" s="9"/>
      <c r="H15" s="9"/>
      <c r="I15" s="9"/>
    </row>
    <row r="16" spans="1:9" x14ac:dyDescent="0.2">
      <c r="A16" s="9"/>
      <c r="B16" s="9"/>
      <c r="C16" s="9"/>
      <c r="D16" s="9"/>
      <c r="E16" s="9"/>
      <c r="F16" s="9"/>
      <c r="G16" s="9"/>
      <c r="H16" s="9"/>
      <c r="I16" s="9"/>
    </row>
    <row r="17" spans="1:9" x14ac:dyDescent="0.2">
      <c r="A17" s="9"/>
      <c r="B17" s="9"/>
      <c r="C17" s="9"/>
      <c r="D17" s="9"/>
      <c r="E17" s="9"/>
      <c r="F17" s="9"/>
      <c r="G17" s="9"/>
      <c r="H17" s="9"/>
      <c r="I17" s="9"/>
    </row>
    <row r="18" spans="1:9" x14ac:dyDescent="0.2">
      <c r="A18" s="9"/>
      <c r="B18" s="9"/>
      <c r="C18" s="9"/>
      <c r="D18" s="9"/>
      <c r="E18" s="9"/>
      <c r="F18" s="9"/>
      <c r="G18" s="9"/>
      <c r="H18" s="9"/>
      <c r="I18" s="9"/>
    </row>
  </sheetData>
  <mergeCells count="1">
    <mergeCell ref="A1:I1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F62F-5EEA-45C4-BC3D-C1F6ACD2A3BA}">
  <dimension ref="A1:I20"/>
  <sheetViews>
    <sheetView workbookViewId="0">
      <selection activeCell="G22" sqref="G22"/>
    </sheetView>
  </sheetViews>
  <sheetFormatPr baseColWidth="10" defaultColWidth="8.83203125" defaultRowHeight="15" x14ac:dyDescent="0.2"/>
  <sheetData>
    <row r="1" spans="1:9" ht="14.5" customHeight="1" x14ac:dyDescent="0.2">
      <c r="A1" s="10" t="s">
        <v>14</v>
      </c>
      <c r="B1" s="10"/>
      <c r="C1" s="10"/>
      <c r="D1" s="10"/>
      <c r="E1" s="10"/>
      <c r="F1" s="10"/>
      <c r="G1" s="10"/>
      <c r="H1" s="10"/>
      <c r="I1" s="10"/>
    </row>
    <row r="2" spans="1:9" x14ac:dyDescent="0.2">
      <c r="A2" s="10"/>
      <c r="B2" s="10"/>
      <c r="C2" s="10"/>
      <c r="D2" s="10"/>
      <c r="E2" s="10"/>
      <c r="F2" s="10"/>
      <c r="G2" s="10"/>
      <c r="H2" s="10"/>
      <c r="I2" s="10"/>
    </row>
    <row r="3" spans="1:9" x14ac:dyDescent="0.2">
      <c r="A3" s="10"/>
      <c r="B3" s="10"/>
      <c r="C3" s="10"/>
      <c r="D3" s="10"/>
      <c r="E3" s="10"/>
      <c r="F3" s="10"/>
      <c r="G3" s="10"/>
      <c r="H3" s="10"/>
      <c r="I3" s="10"/>
    </row>
    <row r="4" spans="1:9" x14ac:dyDescent="0.2">
      <c r="A4" s="10"/>
      <c r="B4" s="10"/>
      <c r="C4" s="10"/>
      <c r="D4" s="10"/>
      <c r="E4" s="10"/>
      <c r="F4" s="10"/>
      <c r="G4" s="10"/>
      <c r="H4" s="10"/>
      <c r="I4" s="10"/>
    </row>
    <row r="5" spans="1:9" x14ac:dyDescent="0.2">
      <c r="A5" s="10"/>
      <c r="B5" s="10"/>
      <c r="C5" s="10"/>
      <c r="D5" s="10"/>
      <c r="E5" s="10"/>
      <c r="F5" s="10"/>
      <c r="G5" s="10"/>
      <c r="H5" s="10"/>
      <c r="I5" s="10"/>
    </row>
    <row r="6" spans="1:9" x14ac:dyDescent="0.2">
      <c r="A6" s="10"/>
      <c r="B6" s="10"/>
      <c r="C6" s="10"/>
      <c r="D6" s="10"/>
      <c r="E6" s="10"/>
      <c r="F6" s="10"/>
      <c r="G6" s="10"/>
      <c r="H6" s="10"/>
      <c r="I6" s="10"/>
    </row>
    <row r="7" spans="1:9" x14ac:dyDescent="0.2">
      <c r="A7" s="10"/>
      <c r="B7" s="10"/>
      <c r="C7" s="10"/>
      <c r="D7" s="10"/>
      <c r="E7" s="10"/>
      <c r="F7" s="10"/>
      <c r="G7" s="10"/>
      <c r="H7" s="10"/>
      <c r="I7" s="10"/>
    </row>
    <row r="8" spans="1:9" x14ac:dyDescent="0.2">
      <c r="A8" s="10"/>
      <c r="B8" s="10"/>
      <c r="C8" s="10"/>
      <c r="D8" s="10"/>
      <c r="E8" s="10"/>
      <c r="F8" s="10"/>
      <c r="G8" s="10"/>
      <c r="H8" s="10"/>
      <c r="I8" s="10"/>
    </row>
    <row r="9" spans="1:9" x14ac:dyDescent="0.2">
      <c r="A9" s="10"/>
      <c r="B9" s="10"/>
      <c r="C9" s="10"/>
      <c r="D9" s="10"/>
      <c r="E9" s="10"/>
      <c r="F9" s="10"/>
      <c r="G9" s="10"/>
      <c r="H9" s="10"/>
      <c r="I9" s="10"/>
    </row>
    <row r="10" spans="1:9" x14ac:dyDescent="0.2">
      <c r="A10" s="10"/>
      <c r="B10" s="10"/>
      <c r="C10" s="10"/>
      <c r="D10" s="10"/>
      <c r="E10" s="10"/>
      <c r="F10" s="10"/>
      <c r="G10" s="10"/>
      <c r="H10" s="10"/>
      <c r="I10" s="10"/>
    </row>
    <row r="11" spans="1:9" x14ac:dyDescent="0.2">
      <c r="A11" s="10"/>
      <c r="B11" s="10"/>
      <c r="C11" s="10"/>
      <c r="D11" s="10"/>
      <c r="E11" s="10"/>
      <c r="F11" s="10"/>
      <c r="G11" s="10"/>
      <c r="H11" s="10"/>
      <c r="I11" s="10"/>
    </row>
    <row r="12" spans="1:9" x14ac:dyDescent="0.2">
      <c r="A12" s="10"/>
      <c r="B12" s="10"/>
      <c r="C12" s="10"/>
      <c r="D12" s="10"/>
      <c r="E12" s="10"/>
      <c r="F12" s="10"/>
      <c r="G12" s="10"/>
      <c r="H12" s="10"/>
      <c r="I12" s="10"/>
    </row>
    <row r="13" spans="1:9" x14ac:dyDescent="0.2">
      <c r="A13" s="10"/>
      <c r="B13" s="10"/>
      <c r="C13" s="10"/>
      <c r="D13" s="10"/>
      <c r="E13" s="10"/>
      <c r="F13" s="10"/>
      <c r="G13" s="10"/>
      <c r="H13" s="10"/>
      <c r="I13" s="10"/>
    </row>
    <row r="14" spans="1:9" x14ac:dyDescent="0.2">
      <c r="A14" s="10"/>
      <c r="B14" s="10"/>
      <c r="C14" s="10"/>
      <c r="D14" s="10"/>
      <c r="E14" s="10"/>
      <c r="F14" s="10"/>
      <c r="G14" s="10"/>
      <c r="H14" s="10"/>
      <c r="I14" s="10"/>
    </row>
    <row r="15" spans="1:9" x14ac:dyDescent="0.2">
      <c r="A15" s="10"/>
      <c r="B15" s="10"/>
      <c r="C15" s="10"/>
      <c r="D15" s="10"/>
      <c r="E15" s="10"/>
      <c r="F15" s="10"/>
      <c r="G15" s="10"/>
      <c r="H15" s="10"/>
      <c r="I15" s="10"/>
    </row>
    <row r="16" spans="1:9" x14ac:dyDescent="0.2">
      <c r="A16" s="10"/>
      <c r="B16" s="10"/>
      <c r="C16" s="10"/>
      <c r="D16" s="10"/>
      <c r="E16" s="10"/>
      <c r="F16" s="10"/>
      <c r="G16" s="10"/>
      <c r="H16" s="10"/>
      <c r="I16" s="10"/>
    </row>
    <row r="17" spans="1:9" x14ac:dyDescent="0.2">
      <c r="A17" s="10"/>
      <c r="B17" s="10"/>
      <c r="C17" s="10"/>
      <c r="D17" s="10"/>
      <c r="E17" s="10"/>
      <c r="F17" s="10"/>
      <c r="G17" s="10"/>
      <c r="H17" s="10"/>
      <c r="I17" s="10"/>
    </row>
    <row r="18" spans="1:9" x14ac:dyDescent="0.2">
      <c r="A18" s="10"/>
      <c r="B18" s="10"/>
      <c r="C18" s="10"/>
      <c r="D18" s="10"/>
      <c r="E18" s="10"/>
      <c r="F18" s="10"/>
      <c r="G18" s="10"/>
      <c r="H18" s="10"/>
      <c r="I18" s="10"/>
    </row>
    <row r="19" spans="1:9" x14ac:dyDescent="0.2">
      <c r="A19" s="10"/>
      <c r="B19" s="10"/>
      <c r="C19" s="10"/>
      <c r="D19" s="10"/>
      <c r="E19" s="10"/>
      <c r="F19" s="10"/>
      <c r="G19" s="10"/>
      <c r="H19" s="10"/>
      <c r="I19" s="10"/>
    </row>
    <row r="20" spans="1:9" x14ac:dyDescent="0.2">
      <c r="A20" s="10"/>
      <c r="B20" s="10"/>
      <c r="C20" s="10"/>
      <c r="D20" s="10"/>
      <c r="E20" s="10"/>
      <c r="F20" s="10"/>
      <c r="G20" s="10"/>
      <c r="H20" s="10"/>
      <c r="I20" s="10"/>
    </row>
  </sheetData>
  <mergeCells count="1">
    <mergeCell ref="A1:I2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3251B-1D1C-412B-AAF7-A7652522C146}">
  <dimension ref="A1:I18"/>
  <sheetViews>
    <sheetView workbookViewId="0">
      <selection activeCell="J30" sqref="J30"/>
    </sheetView>
  </sheetViews>
  <sheetFormatPr baseColWidth="10" defaultColWidth="8.83203125" defaultRowHeight="15" x14ac:dyDescent="0.2"/>
  <sheetData>
    <row r="1" spans="1:9" x14ac:dyDescent="0.2">
      <c r="A1" s="8" t="s">
        <v>2</v>
      </c>
      <c r="B1" s="9"/>
      <c r="C1" s="9"/>
      <c r="D1" s="9"/>
      <c r="E1" s="9"/>
      <c r="F1" s="9"/>
      <c r="G1" s="9"/>
      <c r="H1" s="9"/>
      <c r="I1" s="9"/>
    </row>
    <row r="2" spans="1:9" x14ac:dyDescent="0.2">
      <c r="A2" s="9"/>
      <c r="B2" s="9"/>
      <c r="C2" s="9"/>
      <c r="D2" s="9"/>
      <c r="E2" s="9"/>
      <c r="F2" s="9"/>
      <c r="G2" s="9"/>
      <c r="H2" s="9"/>
      <c r="I2" s="9"/>
    </row>
    <row r="3" spans="1:9" x14ac:dyDescent="0.2">
      <c r="A3" s="9"/>
      <c r="B3" s="9"/>
      <c r="C3" s="9"/>
      <c r="D3" s="9"/>
      <c r="E3" s="9"/>
      <c r="F3" s="9"/>
      <c r="G3" s="9"/>
      <c r="H3" s="9"/>
      <c r="I3" s="9"/>
    </row>
    <row r="4" spans="1:9" x14ac:dyDescent="0.2">
      <c r="A4" s="9"/>
      <c r="B4" s="9"/>
      <c r="C4" s="9"/>
      <c r="D4" s="9"/>
      <c r="E4" s="9"/>
      <c r="F4" s="9"/>
      <c r="G4" s="9"/>
      <c r="H4" s="9"/>
      <c r="I4" s="9"/>
    </row>
    <row r="5" spans="1:9" x14ac:dyDescent="0.2">
      <c r="A5" s="9"/>
      <c r="B5" s="9"/>
      <c r="C5" s="9"/>
      <c r="D5" s="9"/>
      <c r="E5" s="9"/>
      <c r="F5" s="9"/>
      <c r="G5" s="9"/>
      <c r="H5" s="9"/>
      <c r="I5" s="9"/>
    </row>
    <row r="6" spans="1:9" x14ac:dyDescent="0.2">
      <c r="A6" s="9"/>
      <c r="B6" s="9"/>
      <c r="C6" s="9"/>
      <c r="D6" s="9"/>
      <c r="E6" s="9"/>
      <c r="F6" s="9"/>
      <c r="G6" s="9"/>
      <c r="H6" s="9"/>
      <c r="I6" s="9"/>
    </row>
    <row r="7" spans="1:9" x14ac:dyDescent="0.2">
      <c r="A7" s="9"/>
      <c r="B7" s="9"/>
      <c r="C7" s="9"/>
      <c r="D7" s="9"/>
      <c r="E7" s="9"/>
      <c r="F7" s="9"/>
      <c r="G7" s="9"/>
      <c r="H7" s="9"/>
      <c r="I7" s="9"/>
    </row>
    <row r="8" spans="1:9" x14ac:dyDescent="0.2">
      <c r="A8" s="9"/>
      <c r="B8" s="9"/>
      <c r="C8" s="9"/>
      <c r="D8" s="9"/>
      <c r="E8" s="9"/>
      <c r="F8" s="9"/>
      <c r="G8" s="9"/>
      <c r="H8" s="9"/>
      <c r="I8" s="9"/>
    </row>
    <row r="9" spans="1:9" x14ac:dyDescent="0.2">
      <c r="A9" s="9"/>
      <c r="B9" s="9"/>
      <c r="C9" s="9"/>
      <c r="D9" s="9"/>
      <c r="E9" s="9"/>
      <c r="F9" s="9"/>
      <c r="G9" s="9"/>
      <c r="H9" s="9"/>
      <c r="I9" s="9"/>
    </row>
    <row r="10" spans="1:9" x14ac:dyDescent="0.2">
      <c r="A10" s="9"/>
      <c r="B10" s="9"/>
      <c r="C10" s="9"/>
      <c r="D10" s="9"/>
      <c r="E10" s="9"/>
      <c r="F10" s="9"/>
      <c r="G10" s="9"/>
      <c r="H10" s="9"/>
      <c r="I10" s="9"/>
    </row>
    <row r="11" spans="1:9" x14ac:dyDescent="0.2">
      <c r="A11" s="9"/>
      <c r="B11" s="9"/>
      <c r="C11" s="9"/>
      <c r="D11" s="9"/>
      <c r="E11" s="9"/>
      <c r="F11" s="9"/>
      <c r="G11" s="9"/>
      <c r="H11" s="9"/>
      <c r="I11" s="9"/>
    </row>
    <row r="12" spans="1:9" x14ac:dyDescent="0.2">
      <c r="A12" s="9"/>
      <c r="B12" s="9"/>
      <c r="C12" s="9"/>
      <c r="D12" s="9"/>
      <c r="E12" s="9"/>
      <c r="F12" s="9"/>
      <c r="G12" s="9"/>
      <c r="H12" s="9"/>
      <c r="I12" s="9"/>
    </row>
    <row r="13" spans="1:9" x14ac:dyDescent="0.2">
      <c r="A13" s="9"/>
      <c r="B13" s="9"/>
      <c r="C13" s="9"/>
      <c r="D13" s="9"/>
      <c r="E13" s="9"/>
      <c r="F13" s="9"/>
      <c r="G13" s="9"/>
      <c r="H13" s="9"/>
      <c r="I13" s="9"/>
    </row>
    <row r="14" spans="1:9" x14ac:dyDescent="0.2">
      <c r="A14" s="9"/>
      <c r="B14" s="9"/>
      <c r="C14" s="9"/>
      <c r="D14" s="9"/>
      <c r="E14" s="9"/>
      <c r="F14" s="9"/>
      <c r="G14" s="9"/>
      <c r="H14" s="9"/>
      <c r="I14" s="9"/>
    </row>
    <row r="15" spans="1:9" x14ac:dyDescent="0.2">
      <c r="A15" s="9"/>
      <c r="B15" s="9"/>
      <c r="C15" s="9"/>
      <c r="D15" s="9"/>
      <c r="E15" s="9"/>
      <c r="F15" s="9"/>
      <c r="G15" s="9"/>
      <c r="H15" s="9"/>
      <c r="I15" s="9"/>
    </row>
    <row r="16" spans="1:9" x14ac:dyDescent="0.2">
      <c r="A16" s="9"/>
      <c r="B16" s="9"/>
      <c r="C16" s="9"/>
      <c r="D16" s="9"/>
      <c r="E16" s="9"/>
      <c r="F16" s="9"/>
      <c r="G16" s="9"/>
      <c r="H16" s="9"/>
      <c r="I16" s="9"/>
    </row>
    <row r="17" spans="1:9" x14ac:dyDescent="0.2">
      <c r="A17" s="9"/>
      <c r="B17" s="9"/>
      <c r="C17" s="9"/>
      <c r="D17" s="9"/>
      <c r="E17" s="9"/>
      <c r="F17" s="9"/>
      <c r="G17" s="9"/>
      <c r="H17" s="9"/>
      <c r="I17" s="9"/>
    </row>
    <row r="18" spans="1:9" x14ac:dyDescent="0.2">
      <c r="A18" s="9"/>
      <c r="B18" s="9"/>
      <c r="C18" s="9"/>
      <c r="D18" s="9"/>
      <c r="E18" s="9"/>
      <c r="F18" s="9"/>
      <c r="G18" s="9"/>
      <c r="H18" s="9"/>
      <c r="I18" s="9"/>
    </row>
  </sheetData>
  <mergeCells count="1">
    <mergeCell ref="A1:I1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660AE-284D-411E-BF7E-6B6A2A79BC85}">
  <dimension ref="A1:I18"/>
  <sheetViews>
    <sheetView workbookViewId="0">
      <selection sqref="A1:I18"/>
    </sheetView>
  </sheetViews>
  <sheetFormatPr baseColWidth="10" defaultColWidth="8.83203125" defaultRowHeight="15" x14ac:dyDescent="0.2"/>
  <sheetData>
    <row r="1" spans="1:9" x14ac:dyDescent="0.2">
      <c r="A1" s="8" t="s">
        <v>3</v>
      </c>
      <c r="B1" s="9"/>
      <c r="C1" s="9"/>
      <c r="D1" s="9"/>
      <c r="E1" s="9"/>
      <c r="F1" s="9"/>
      <c r="G1" s="9"/>
      <c r="H1" s="9"/>
      <c r="I1" s="9"/>
    </row>
    <row r="2" spans="1:9" x14ac:dyDescent="0.2">
      <c r="A2" s="9"/>
      <c r="B2" s="9"/>
      <c r="C2" s="9"/>
      <c r="D2" s="9"/>
      <c r="E2" s="9"/>
      <c r="F2" s="9"/>
      <c r="G2" s="9"/>
      <c r="H2" s="9"/>
      <c r="I2" s="9"/>
    </row>
    <row r="3" spans="1:9" x14ac:dyDescent="0.2">
      <c r="A3" s="9"/>
      <c r="B3" s="9"/>
      <c r="C3" s="9"/>
      <c r="D3" s="9"/>
      <c r="E3" s="9"/>
      <c r="F3" s="9"/>
      <c r="G3" s="9"/>
      <c r="H3" s="9"/>
      <c r="I3" s="9"/>
    </row>
    <row r="4" spans="1:9" x14ac:dyDescent="0.2">
      <c r="A4" s="9"/>
      <c r="B4" s="9"/>
      <c r="C4" s="9"/>
      <c r="D4" s="9"/>
      <c r="E4" s="9"/>
      <c r="F4" s="9"/>
      <c r="G4" s="9"/>
      <c r="H4" s="9"/>
      <c r="I4" s="9"/>
    </row>
    <row r="5" spans="1:9" x14ac:dyDescent="0.2">
      <c r="A5" s="9"/>
      <c r="B5" s="9"/>
      <c r="C5" s="9"/>
      <c r="D5" s="9"/>
      <c r="E5" s="9"/>
      <c r="F5" s="9"/>
      <c r="G5" s="9"/>
      <c r="H5" s="9"/>
      <c r="I5" s="9"/>
    </row>
    <row r="6" spans="1:9" x14ac:dyDescent="0.2">
      <c r="A6" s="9"/>
      <c r="B6" s="9"/>
      <c r="C6" s="9"/>
      <c r="D6" s="9"/>
      <c r="E6" s="9"/>
      <c r="F6" s="9"/>
      <c r="G6" s="9"/>
      <c r="H6" s="9"/>
      <c r="I6" s="9"/>
    </row>
    <row r="7" spans="1:9" x14ac:dyDescent="0.2">
      <c r="A7" s="9"/>
      <c r="B7" s="9"/>
      <c r="C7" s="9"/>
      <c r="D7" s="9"/>
      <c r="E7" s="9"/>
      <c r="F7" s="9"/>
      <c r="G7" s="9"/>
      <c r="H7" s="9"/>
      <c r="I7" s="9"/>
    </row>
    <row r="8" spans="1:9" x14ac:dyDescent="0.2">
      <c r="A8" s="9"/>
      <c r="B8" s="9"/>
      <c r="C8" s="9"/>
      <c r="D8" s="9"/>
      <c r="E8" s="9"/>
      <c r="F8" s="9"/>
      <c r="G8" s="9"/>
      <c r="H8" s="9"/>
      <c r="I8" s="9"/>
    </row>
    <row r="9" spans="1:9" x14ac:dyDescent="0.2">
      <c r="A9" s="9"/>
      <c r="B9" s="9"/>
      <c r="C9" s="9"/>
      <c r="D9" s="9"/>
      <c r="E9" s="9"/>
      <c r="F9" s="9"/>
      <c r="G9" s="9"/>
      <c r="H9" s="9"/>
      <c r="I9" s="9"/>
    </row>
    <row r="10" spans="1:9" x14ac:dyDescent="0.2">
      <c r="A10" s="9"/>
      <c r="B10" s="9"/>
      <c r="C10" s="9"/>
      <c r="D10" s="9"/>
      <c r="E10" s="9"/>
      <c r="F10" s="9"/>
      <c r="G10" s="9"/>
      <c r="H10" s="9"/>
      <c r="I10" s="9"/>
    </row>
    <row r="11" spans="1:9" x14ac:dyDescent="0.2">
      <c r="A11" s="9"/>
      <c r="B11" s="9"/>
      <c r="C11" s="9"/>
      <c r="D11" s="9"/>
      <c r="E11" s="9"/>
      <c r="F11" s="9"/>
      <c r="G11" s="9"/>
      <c r="H11" s="9"/>
      <c r="I11" s="9"/>
    </row>
    <row r="12" spans="1:9" x14ac:dyDescent="0.2">
      <c r="A12" s="9"/>
      <c r="B12" s="9"/>
      <c r="C12" s="9"/>
      <c r="D12" s="9"/>
      <c r="E12" s="9"/>
      <c r="F12" s="9"/>
      <c r="G12" s="9"/>
      <c r="H12" s="9"/>
      <c r="I12" s="9"/>
    </row>
    <row r="13" spans="1:9" x14ac:dyDescent="0.2">
      <c r="A13" s="9"/>
      <c r="B13" s="9"/>
      <c r="C13" s="9"/>
      <c r="D13" s="9"/>
      <c r="E13" s="9"/>
      <c r="F13" s="9"/>
      <c r="G13" s="9"/>
      <c r="H13" s="9"/>
      <c r="I13" s="9"/>
    </row>
    <row r="14" spans="1:9" x14ac:dyDescent="0.2">
      <c r="A14" s="9"/>
      <c r="B14" s="9"/>
      <c r="C14" s="9"/>
      <c r="D14" s="9"/>
      <c r="E14" s="9"/>
      <c r="F14" s="9"/>
      <c r="G14" s="9"/>
      <c r="H14" s="9"/>
      <c r="I14" s="9"/>
    </row>
    <row r="15" spans="1:9" x14ac:dyDescent="0.2">
      <c r="A15" s="9"/>
      <c r="B15" s="9"/>
      <c r="C15" s="9"/>
      <c r="D15" s="9"/>
      <c r="E15" s="9"/>
      <c r="F15" s="9"/>
      <c r="G15" s="9"/>
      <c r="H15" s="9"/>
      <c r="I15" s="9"/>
    </row>
    <row r="16" spans="1:9" x14ac:dyDescent="0.2">
      <c r="A16" s="9"/>
      <c r="B16" s="9"/>
      <c r="C16" s="9"/>
      <c r="D16" s="9"/>
      <c r="E16" s="9"/>
      <c r="F16" s="9"/>
      <c r="G16" s="9"/>
      <c r="H16" s="9"/>
      <c r="I16" s="9"/>
    </row>
    <row r="17" spans="1:9" x14ac:dyDescent="0.2">
      <c r="A17" s="9"/>
      <c r="B17" s="9"/>
      <c r="C17" s="9"/>
      <c r="D17" s="9"/>
      <c r="E17" s="9"/>
      <c r="F17" s="9"/>
      <c r="G17" s="9"/>
      <c r="H17" s="9"/>
      <c r="I17" s="9"/>
    </row>
    <row r="18" spans="1:9" x14ac:dyDescent="0.2">
      <c r="A18" s="9"/>
      <c r="B18" s="9"/>
      <c r="C18" s="9"/>
      <c r="D18" s="9"/>
      <c r="E18" s="9"/>
      <c r="F18" s="9"/>
      <c r="G18" s="9"/>
      <c r="H18" s="9"/>
      <c r="I18" s="9"/>
    </row>
  </sheetData>
  <mergeCells count="1">
    <mergeCell ref="A1:I1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9ABE5-C699-44A1-8491-507FCDA63CB1}">
  <dimension ref="A1:I20"/>
  <sheetViews>
    <sheetView workbookViewId="0">
      <selection activeCell="F31" sqref="F31"/>
    </sheetView>
  </sheetViews>
  <sheetFormatPr baseColWidth="10" defaultColWidth="8.83203125" defaultRowHeight="15" x14ac:dyDescent="0.2"/>
  <sheetData>
    <row r="1" spans="1:9" x14ac:dyDescent="0.2">
      <c r="A1" s="10" t="s">
        <v>4</v>
      </c>
      <c r="B1" s="11"/>
      <c r="C1" s="11"/>
      <c r="D1" s="11"/>
      <c r="E1" s="11"/>
      <c r="F1" s="11"/>
      <c r="G1" s="11"/>
      <c r="H1" s="11"/>
      <c r="I1" s="11"/>
    </row>
    <row r="2" spans="1:9" x14ac:dyDescent="0.2">
      <c r="A2" s="11"/>
      <c r="B2" s="11"/>
      <c r="C2" s="11"/>
      <c r="D2" s="11"/>
      <c r="E2" s="11"/>
      <c r="F2" s="11"/>
      <c r="G2" s="11"/>
      <c r="H2" s="11"/>
      <c r="I2" s="11"/>
    </row>
    <row r="3" spans="1:9" x14ac:dyDescent="0.2">
      <c r="A3" s="11"/>
      <c r="B3" s="11"/>
      <c r="C3" s="11"/>
      <c r="D3" s="11"/>
      <c r="E3" s="11"/>
      <c r="F3" s="11"/>
      <c r="G3" s="11"/>
      <c r="H3" s="11"/>
      <c r="I3" s="11"/>
    </row>
    <row r="4" spans="1:9" x14ac:dyDescent="0.2">
      <c r="A4" s="11"/>
      <c r="B4" s="11"/>
      <c r="C4" s="11"/>
      <c r="D4" s="11"/>
      <c r="E4" s="11"/>
      <c r="F4" s="11"/>
      <c r="G4" s="11"/>
      <c r="H4" s="11"/>
      <c r="I4" s="11"/>
    </row>
    <row r="5" spans="1:9" x14ac:dyDescent="0.2">
      <c r="A5" s="11"/>
      <c r="B5" s="11"/>
      <c r="C5" s="11"/>
      <c r="D5" s="11"/>
      <c r="E5" s="11"/>
      <c r="F5" s="11"/>
      <c r="G5" s="11"/>
      <c r="H5" s="11"/>
      <c r="I5" s="11"/>
    </row>
    <row r="6" spans="1:9" x14ac:dyDescent="0.2">
      <c r="A6" s="11"/>
      <c r="B6" s="11"/>
      <c r="C6" s="11"/>
      <c r="D6" s="11"/>
      <c r="E6" s="11"/>
      <c r="F6" s="11"/>
      <c r="G6" s="11"/>
      <c r="H6" s="11"/>
      <c r="I6" s="11"/>
    </row>
    <row r="7" spans="1:9" x14ac:dyDescent="0.2">
      <c r="A7" s="11"/>
      <c r="B7" s="11"/>
      <c r="C7" s="11"/>
      <c r="D7" s="11"/>
      <c r="E7" s="11"/>
      <c r="F7" s="11"/>
      <c r="G7" s="11"/>
      <c r="H7" s="11"/>
      <c r="I7" s="11"/>
    </row>
    <row r="8" spans="1:9" x14ac:dyDescent="0.2">
      <c r="A8" s="11"/>
      <c r="B8" s="11"/>
      <c r="C8" s="11"/>
      <c r="D8" s="11"/>
      <c r="E8" s="11"/>
      <c r="F8" s="11"/>
      <c r="G8" s="11"/>
      <c r="H8" s="11"/>
      <c r="I8" s="11"/>
    </row>
    <row r="9" spans="1:9" x14ac:dyDescent="0.2">
      <c r="A9" s="11"/>
      <c r="B9" s="11"/>
      <c r="C9" s="11"/>
      <c r="D9" s="11"/>
      <c r="E9" s="11"/>
      <c r="F9" s="11"/>
      <c r="G9" s="11"/>
      <c r="H9" s="11"/>
      <c r="I9" s="11"/>
    </row>
    <row r="10" spans="1:9" x14ac:dyDescent="0.2">
      <c r="A10" s="11"/>
      <c r="B10" s="11"/>
      <c r="C10" s="11"/>
      <c r="D10" s="11"/>
      <c r="E10" s="11"/>
      <c r="F10" s="11"/>
      <c r="G10" s="11"/>
      <c r="H10" s="11"/>
      <c r="I10" s="11"/>
    </row>
    <row r="11" spans="1:9" x14ac:dyDescent="0.2">
      <c r="A11" s="11"/>
      <c r="B11" s="11"/>
      <c r="C11" s="11"/>
      <c r="D11" s="11"/>
      <c r="E11" s="11"/>
      <c r="F11" s="11"/>
      <c r="G11" s="11"/>
      <c r="H11" s="11"/>
      <c r="I11" s="11"/>
    </row>
    <row r="12" spans="1:9" x14ac:dyDescent="0.2">
      <c r="A12" s="11"/>
      <c r="B12" s="11"/>
      <c r="C12" s="11"/>
      <c r="D12" s="11"/>
      <c r="E12" s="11"/>
      <c r="F12" s="11"/>
      <c r="G12" s="11"/>
      <c r="H12" s="11"/>
      <c r="I12" s="11"/>
    </row>
    <row r="13" spans="1:9" x14ac:dyDescent="0.2">
      <c r="A13" s="11"/>
      <c r="B13" s="11"/>
      <c r="C13" s="11"/>
      <c r="D13" s="11"/>
      <c r="E13" s="11"/>
      <c r="F13" s="11"/>
      <c r="G13" s="11"/>
      <c r="H13" s="11"/>
      <c r="I13" s="11"/>
    </row>
    <row r="14" spans="1:9" x14ac:dyDescent="0.2">
      <c r="A14" s="11"/>
      <c r="B14" s="11"/>
      <c r="C14" s="11"/>
      <c r="D14" s="11"/>
      <c r="E14" s="11"/>
      <c r="F14" s="11"/>
      <c r="G14" s="11"/>
      <c r="H14" s="11"/>
      <c r="I14" s="11"/>
    </row>
    <row r="15" spans="1:9" x14ac:dyDescent="0.2">
      <c r="A15" s="11"/>
      <c r="B15" s="11"/>
      <c r="C15" s="11"/>
      <c r="D15" s="11"/>
      <c r="E15" s="11"/>
      <c r="F15" s="11"/>
      <c r="G15" s="11"/>
      <c r="H15" s="11"/>
      <c r="I15" s="11"/>
    </row>
    <row r="16" spans="1:9" x14ac:dyDescent="0.2">
      <c r="A16" s="11"/>
      <c r="B16" s="11"/>
      <c r="C16" s="11"/>
      <c r="D16" s="11"/>
      <c r="E16" s="11"/>
      <c r="F16" s="11"/>
      <c r="G16" s="11"/>
      <c r="H16" s="11"/>
      <c r="I16" s="11"/>
    </row>
    <row r="17" spans="1:9" x14ac:dyDescent="0.2">
      <c r="A17" s="11"/>
      <c r="B17" s="11"/>
      <c r="C17" s="11"/>
      <c r="D17" s="11"/>
      <c r="E17" s="11"/>
      <c r="F17" s="11"/>
      <c r="G17" s="11"/>
      <c r="H17" s="11"/>
      <c r="I17" s="11"/>
    </row>
    <row r="18" spans="1:9" x14ac:dyDescent="0.2">
      <c r="A18" s="11"/>
      <c r="B18" s="11"/>
      <c r="C18" s="11"/>
      <c r="D18" s="11"/>
      <c r="E18" s="11"/>
      <c r="F18" s="11"/>
      <c r="G18" s="11"/>
      <c r="H18" s="11"/>
      <c r="I18" s="11"/>
    </row>
    <row r="19" spans="1:9" x14ac:dyDescent="0.2">
      <c r="A19" s="11"/>
      <c r="B19" s="11"/>
      <c r="C19" s="11"/>
      <c r="D19" s="11"/>
      <c r="E19" s="11"/>
      <c r="F19" s="11"/>
      <c r="G19" s="11"/>
      <c r="H19" s="11"/>
      <c r="I19" s="11"/>
    </row>
    <row r="20" spans="1:9" x14ac:dyDescent="0.2">
      <c r="A20" s="11"/>
      <c r="B20" s="11"/>
      <c r="C20" s="11"/>
      <c r="D20" s="11"/>
      <c r="E20" s="11"/>
      <c r="F20" s="11"/>
      <c r="G20" s="11"/>
      <c r="H20" s="11"/>
      <c r="I20" s="11"/>
    </row>
  </sheetData>
  <mergeCells count="1">
    <mergeCell ref="A1:I20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A92AA-9AF9-44D0-8E4E-1D01F0FA1C56}">
  <dimension ref="A1:M20"/>
  <sheetViews>
    <sheetView workbookViewId="0">
      <selection activeCell="I24" sqref="I24"/>
    </sheetView>
  </sheetViews>
  <sheetFormatPr baseColWidth="10" defaultColWidth="8.83203125" defaultRowHeight="15" x14ac:dyDescent="0.2"/>
  <sheetData>
    <row r="1" spans="1:13" x14ac:dyDescent="0.2">
      <c r="A1" s="10" t="s">
        <v>5</v>
      </c>
      <c r="B1" s="11"/>
      <c r="C1" s="11"/>
      <c r="D1" s="11"/>
      <c r="E1" s="11"/>
      <c r="F1" s="11"/>
      <c r="G1" s="11"/>
      <c r="H1" s="11"/>
      <c r="I1" s="11"/>
    </row>
    <row r="2" spans="1:13" x14ac:dyDescent="0.2">
      <c r="A2" s="11"/>
      <c r="B2" s="11"/>
      <c r="C2" s="11"/>
      <c r="D2" s="11"/>
      <c r="E2" s="11"/>
      <c r="F2" s="11"/>
      <c r="G2" s="11"/>
      <c r="H2" s="11"/>
      <c r="I2" s="11"/>
    </row>
    <row r="3" spans="1:13" x14ac:dyDescent="0.2">
      <c r="A3" s="11"/>
      <c r="B3" s="11"/>
      <c r="C3" s="11"/>
      <c r="D3" s="11"/>
      <c r="E3" s="11"/>
      <c r="F3" s="11"/>
      <c r="G3" s="11"/>
      <c r="H3" s="11"/>
      <c r="I3" s="11"/>
    </row>
    <row r="4" spans="1:13" x14ac:dyDescent="0.2">
      <c r="A4" s="11"/>
      <c r="B4" s="11"/>
      <c r="C4" s="11"/>
      <c r="D4" s="11"/>
      <c r="E4" s="11"/>
      <c r="F4" s="11"/>
      <c r="G4" s="11"/>
      <c r="H4" s="11"/>
      <c r="I4" s="11"/>
    </row>
    <row r="5" spans="1:13" x14ac:dyDescent="0.2">
      <c r="A5" s="11"/>
      <c r="B5" s="11"/>
      <c r="C5" s="11"/>
      <c r="D5" s="11"/>
      <c r="E5" s="11"/>
      <c r="F5" s="11"/>
      <c r="G5" s="11"/>
      <c r="H5" s="11"/>
      <c r="I5" s="11"/>
    </row>
    <row r="6" spans="1:13" x14ac:dyDescent="0.2">
      <c r="A6" s="11"/>
      <c r="B6" s="11"/>
      <c r="C6" s="11"/>
      <c r="D6" s="11"/>
      <c r="E6" s="11"/>
      <c r="F6" s="11"/>
      <c r="G6" s="11"/>
      <c r="H6" s="11"/>
      <c r="I6" s="11"/>
    </row>
    <row r="7" spans="1:13" x14ac:dyDescent="0.2">
      <c r="A7" s="11"/>
      <c r="B7" s="11"/>
      <c r="C7" s="11"/>
      <c r="D7" s="11"/>
      <c r="E7" s="11"/>
      <c r="F7" s="11"/>
      <c r="G7" s="11"/>
      <c r="H7" s="11"/>
      <c r="I7" s="11"/>
      <c r="M7" s="1"/>
    </row>
    <row r="8" spans="1:13" x14ac:dyDescent="0.2">
      <c r="A8" s="11"/>
      <c r="B8" s="11"/>
      <c r="C8" s="11"/>
      <c r="D8" s="11"/>
      <c r="E8" s="11"/>
      <c r="F8" s="11"/>
      <c r="G8" s="11"/>
      <c r="H8" s="11"/>
      <c r="I8" s="11"/>
    </row>
    <row r="9" spans="1:13" x14ac:dyDescent="0.2">
      <c r="A9" s="11"/>
      <c r="B9" s="11"/>
      <c r="C9" s="11"/>
      <c r="D9" s="11"/>
      <c r="E9" s="11"/>
      <c r="F9" s="11"/>
      <c r="G9" s="11"/>
      <c r="H9" s="11"/>
      <c r="I9" s="11"/>
    </row>
    <row r="10" spans="1:13" x14ac:dyDescent="0.2">
      <c r="A10" s="11"/>
      <c r="B10" s="11"/>
      <c r="C10" s="11"/>
      <c r="D10" s="11"/>
      <c r="E10" s="11"/>
      <c r="F10" s="11"/>
      <c r="G10" s="11"/>
      <c r="H10" s="11"/>
      <c r="I10" s="11"/>
    </row>
    <row r="11" spans="1:13" x14ac:dyDescent="0.2">
      <c r="A11" s="11"/>
      <c r="B11" s="11"/>
      <c r="C11" s="11"/>
      <c r="D11" s="11"/>
      <c r="E11" s="11"/>
      <c r="F11" s="11"/>
      <c r="G11" s="11"/>
      <c r="H11" s="11"/>
      <c r="I11" s="11"/>
    </row>
    <row r="12" spans="1:13" x14ac:dyDescent="0.2">
      <c r="A12" s="11"/>
      <c r="B12" s="11"/>
      <c r="C12" s="11"/>
      <c r="D12" s="11"/>
      <c r="E12" s="11"/>
      <c r="F12" s="11"/>
      <c r="G12" s="11"/>
      <c r="H12" s="11"/>
      <c r="I12" s="11"/>
    </row>
    <row r="13" spans="1:13" x14ac:dyDescent="0.2">
      <c r="A13" s="11"/>
      <c r="B13" s="11"/>
      <c r="C13" s="11"/>
      <c r="D13" s="11"/>
      <c r="E13" s="11"/>
      <c r="F13" s="11"/>
      <c r="G13" s="11"/>
      <c r="H13" s="11"/>
      <c r="I13" s="11"/>
    </row>
    <row r="14" spans="1:13" x14ac:dyDescent="0.2">
      <c r="A14" s="11"/>
      <c r="B14" s="11"/>
      <c r="C14" s="11"/>
      <c r="D14" s="11"/>
      <c r="E14" s="11"/>
      <c r="F14" s="11"/>
      <c r="G14" s="11"/>
      <c r="H14" s="11"/>
      <c r="I14" s="11"/>
    </row>
    <row r="15" spans="1:13" x14ac:dyDescent="0.2">
      <c r="A15" s="11"/>
      <c r="B15" s="11"/>
      <c r="C15" s="11"/>
      <c r="D15" s="11"/>
      <c r="E15" s="11"/>
      <c r="F15" s="11"/>
      <c r="G15" s="11"/>
      <c r="H15" s="11"/>
      <c r="I15" s="11"/>
    </row>
    <row r="16" spans="1:13" x14ac:dyDescent="0.2">
      <c r="A16" s="11"/>
      <c r="B16" s="11"/>
      <c r="C16" s="11"/>
      <c r="D16" s="11"/>
      <c r="E16" s="11"/>
      <c r="F16" s="11"/>
      <c r="G16" s="11"/>
      <c r="H16" s="11"/>
      <c r="I16" s="11"/>
    </row>
    <row r="17" spans="1:9" x14ac:dyDescent="0.2">
      <c r="A17" s="11"/>
      <c r="B17" s="11"/>
      <c r="C17" s="11"/>
      <c r="D17" s="11"/>
      <c r="E17" s="11"/>
      <c r="F17" s="11"/>
      <c r="G17" s="11"/>
      <c r="H17" s="11"/>
      <c r="I17" s="11"/>
    </row>
    <row r="18" spans="1:9" x14ac:dyDescent="0.2">
      <c r="A18" s="11"/>
      <c r="B18" s="11"/>
      <c r="C18" s="11"/>
      <c r="D18" s="11"/>
      <c r="E18" s="11"/>
      <c r="F18" s="11"/>
      <c r="G18" s="11"/>
      <c r="H18" s="11"/>
      <c r="I18" s="11"/>
    </row>
    <row r="19" spans="1:9" x14ac:dyDescent="0.2">
      <c r="A19" s="11"/>
      <c r="B19" s="11"/>
      <c r="C19" s="11"/>
      <c r="D19" s="11"/>
      <c r="E19" s="11"/>
      <c r="F19" s="11"/>
      <c r="G19" s="11"/>
      <c r="H19" s="11"/>
      <c r="I19" s="11"/>
    </row>
    <row r="20" spans="1:9" x14ac:dyDescent="0.2">
      <c r="A20" s="11"/>
      <c r="B20" s="11"/>
      <c r="C20" s="11"/>
      <c r="D20" s="11"/>
      <c r="E20" s="11"/>
      <c r="F20" s="11"/>
      <c r="G20" s="11"/>
      <c r="H20" s="11"/>
      <c r="I20" s="11"/>
    </row>
  </sheetData>
  <mergeCells count="1">
    <mergeCell ref="A1:I2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A55FD-C00B-40D1-8648-C2106E506786}">
  <dimension ref="A1:I20"/>
  <sheetViews>
    <sheetView workbookViewId="0">
      <selection activeCell="J27" sqref="J27"/>
    </sheetView>
  </sheetViews>
  <sheetFormatPr baseColWidth="10" defaultColWidth="8.83203125" defaultRowHeight="15" x14ac:dyDescent="0.2"/>
  <sheetData>
    <row r="1" spans="1:9" x14ac:dyDescent="0.2">
      <c r="A1" s="10" t="s">
        <v>6</v>
      </c>
      <c r="B1" s="11"/>
      <c r="C1" s="11"/>
      <c r="D1" s="11"/>
      <c r="E1" s="11"/>
      <c r="F1" s="11"/>
      <c r="G1" s="11"/>
      <c r="H1" s="11"/>
      <c r="I1" s="11"/>
    </row>
    <row r="2" spans="1:9" x14ac:dyDescent="0.2">
      <c r="A2" s="11"/>
      <c r="B2" s="11"/>
      <c r="C2" s="11"/>
      <c r="D2" s="11"/>
      <c r="E2" s="11"/>
      <c r="F2" s="11"/>
      <c r="G2" s="11"/>
      <c r="H2" s="11"/>
      <c r="I2" s="11"/>
    </row>
    <row r="3" spans="1:9" x14ac:dyDescent="0.2">
      <c r="A3" s="11"/>
      <c r="B3" s="11"/>
      <c r="C3" s="11"/>
      <c r="D3" s="11"/>
      <c r="E3" s="11"/>
      <c r="F3" s="11"/>
      <c r="G3" s="11"/>
      <c r="H3" s="11"/>
      <c r="I3" s="11"/>
    </row>
    <row r="4" spans="1:9" x14ac:dyDescent="0.2">
      <c r="A4" s="11"/>
      <c r="B4" s="11"/>
      <c r="C4" s="11"/>
      <c r="D4" s="11"/>
      <c r="E4" s="11"/>
      <c r="F4" s="11"/>
      <c r="G4" s="11"/>
      <c r="H4" s="11"/>
      <c r="I4" s="11"/>
    </row>
    <row r="5" spans="1:9" x14ac:dyDescent="0.2">
      <c r="A5" s="11"/>
      <c r="B5" s="11"/>
      <c r="C5" s="11"/>
      <c r="D5" s="11"/>
      <c r="E5" s="11"/>
      <c r="F5" s="11"/>
      <c r="G5" s="11"/>
      <c r="H5" s="11"/>
      <c r="I5" s="11"/>
    </row>
    <row r="6" spans="1:9" x14ac:dyDescent="0.2">
      <c r="A6" s="11"/>
      <c r="B6" s="11"/>
      <c r="C6" s="11"/>
      <c r="D6" s="11"/>
      <c r="E6" s="11"/>
      <c r="F6" s="11"/>
      <c r="G6" s="11"/>
      <c r="H6" s="11"/>
      <c r="I6" s="11"/>
    </row>
    <row r="7" spans="1:9" x14ac:dyDescent="0.2">
      <c r="A7" s="11"/>
      <c r="B7" s="11"/>
      <c r="C7" s="11"/>
      <c r="D7" s="11"/>
      <c r="E7" s="11"/>
      <c r="F7" s="11"/>
      <c r="G7" s="11"/>
      <c r="H7" s="11"/>
      <c r="I7" s="11"/>
    </row>
    <row r="8" spans="1:9" x14ac:dyDescent="0.2">
      <c r="A8" s="11"/>
      <c r="B8" s="11"/>
      <c r="C8" s="11"/>
      <c r="D8" s="11"/>
      <c r="E8" s="11"/>
      <c r="F8" s="11"/>
      <c r="G8" s="11"/>
      <c r="H8" s="11"/>
      <c r="I8" s="11"/>
    </row>
    <row r="9" spans="1:9" x14ac:dyDescent="0.2">
      <c r="A9" s="11"/>
      <c r="B9" s="11"/>
      <c r="C9" s="11"/>
      <c r="D9" s="11"/>
      <c r="E9" s="11"/>
      <c r="F9" s="11"/>
      <c r="G9" s="11"/>
      <c r="H9" s="11"/>
      <c r="I9" s="11"/>
    </row>
    <row r="10" spans="1:9" x14ac:dyDescent="0.2">
      <c r="A10" s="11"/>
      <c r="B10" s="11"/>
      <c r="C10" s="11"/>
      <c r="D10" s="11"/>
      <c r="E10" s="11"/>
      <c r="F10" s="11"/>
      <c r="G10" s="11"/>
      <c r="H10" s="11"/>
      <c r="I10" s="11"/>
    </row>
    <row r="11" spans="1:9" x14ac:dyDescent="0.2">
      <c r="A11" s="11"/>
      <c r="B11" s="11"/>
      <c r="C11" s="11"/>
      <c r="D11" s="11"/>
      <c r="E11" s="11"/>
      <c r="F11" s="11"/>
      <c r="G11" s="11"/>
      <c r="H11" s="11"/>
      <c r="I11" s="11"/>
    </row>
    <row r="12" spans="1:9" x14ac:dyDescent="0.2">
      <c r="A12" s="11"/>
      <c r="B12" s="11"/>
      <c r="C12" s="11"/>
      <c r="D12" s="11"/>
      <c r="E12" s="11"/>
      <c r="F12" s="11"/>
      <c r="G12" s="11"/>
      <c r="H12" s="11"/>
      <c r="I12" s="11"/>
    </row>
    <row r="13" spans="1:9" x14ac:dyDescent="0.2">
      <c r="A13" s="11"/>
      <c r="B13" s="11"/>
      <c r="C13" s="11"/>
      <c r="D13" s="11"/>
      <c r="E13" s="11"/>
      <c r="F13" s="11"/>
      <c r="G13" s="11"/>
      <c r="H13" s="11"/>
      <c r="I13" s="11"/>
    </row>
    <row r="14" spans="1:9" x14ac:dyDescent="0.2">
      <c r="A14" s="11"/>
      <c r="B14" s="11"/>
      <c r="C14" s="11"/>
      <c r="D14" s="11"/>
      <c r="E14" s="11"/>
      <c r="F14" s="11"/>
      <c r="G14" s="11"/>
      <c r="H14" s="11"/>
      <c r="I14" s="11"/>
    </row>
    <row r="15" spans="1:9" x14ac:dyDescent="0.2">
      <c r="A15" s="11"/>
      <c r="B15" s="11"/>
      <c r="C15" s="11"/>
      <c r="D15" s="11"/>
      <c r="E15" s="11"/>
      <c r="F15" s="11"/>
      <c r="G15" s="11"/>
      <c r="H15" s="11"/>
      <c r="I15" s="11"/>
    </row>
    <row r="16" spans="1:9" x14ac:dyDescent="0.2">
      <c r="A16" s="11"/>
      <c r="B16" s="11"/>
      <c r="C16" s="11"/>
      <c r="D16" s="11"/>
      <c r="E16" s="11"/>
      <c r="F16" s="11"/>
      <c r="G16" s="11"/>
      <c r="H16" s="11"/>
      <c r="I16" s="11"/>
    </row>
    <row r="17" spans="1:9" x14ac:dyDescent="0.2">
      <c r="A17" s="11"/>
      <c r="B17" s="11"/>
      <c r="C17" s="11"/>
      <c r="D17" s="11"/>
      <c r="E17" s="11"/>
      <c r="F17" s="11"/>
      <c r="G17" s="11"/>
      <c r="H17" s="11"/>
      <c r="I17" s="11"/>
    </row>
    <row r="18" spans="1:9" x14ac:dyDescent="0.2">
      <c r="A18" s="11"/>
      <c r="B18" s="11"/>
      <c r="C18" s="11"/>
      <c r="D18" s="11"/>
      <c r="E18" s="11"/>
      <c r="F18" s="11"/>
      <c r="G18" s="11"/>
      <c r="H18" s="11"/>
      <c r="I18" s="11"/>
    </row>
    <row r="19" spans="1:9" x14ac:dyDescent="0.2">
      <c r="A19" s="11"/>
      <c r="B19" s="11"/>
      <c r="C19" s="11"/>
      <c r="D19" s="11"/>
      <c r="E19" s="11"/>
      <c r="F19" s="11"/>
      <c r="G19" s="11"/>
      <c r="H19" s="11"/>
      <c r="I19" s="11"/>
    </row>
    <row r="20" spans="1:9" x14ac:dyDescent="0.2">
      <c r="A20" s="11"/>
      <c r="B20" s="11"/>
      <c r="C20" s="11"/>
      <c r="D20" s="11"/>
      <c r="E20" s="11"/>
      <c r="F20" s="11"/>
      <c r="G20" s="11"/>
      <c r="H20" s="11"/>
      <c r="I20" s="11"/>
    </row>
  </sheetData>
  <mergeCells count="1">
    <mergeCell ref="A1:I20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56CF6-7656-4BE8-A758-558DC34FF893}">
  <dimension ref="A1:I20"/>
  <sheetViews>
    <sheetView workbookViewId="0">
      <selection activeCell="J27" sqref="J27"/>
    </sheetView>
  </sheetViews>
  <sheetFormatPr baseColWidth="10" defaultColWidth="8.83203125" defaultRowHeight="15" x14ac:dyDescent="0.2"/>
  <sheetData>
    <row r="1" spans="1:9" x14ac:dyDescent="0.2">
      <c r="A1" s="10" t="s">
        <v>7</v>
      </c>
      <c r="B1" s="11"/>
      <c r="C1" s="11"/>
      <c r="D1" s="11"/>
      <c r="E1" s="11"/>
      <c r="F1" s="11"/>
      <c r="G1" s="11"/>
      <c r="H1" s="11"/>
      <c r="I1" s="11"/>
    </row>
    <row r="2" spans="1:9" x14ac:dyDescent="0.2">
      <c r="A2" s="11"/>
      <c r="B2" s="11"/>
      <c r="C2" s="11"/>
      <c r="D2" s="11"/>
      <c r="E2" s="11"/>
      <c r="F2" s="11"/>
      <c r="G2" s="11"/>
      <c r="H2" s="11"/>
      <c r="I2" s="11"/>
    </row>
    <row r="3" spans="1:9" x14ac:dyDescent="0.2">
      <c r="A3" s="11"/>
      <c r="B3" s="11"/>
      <c r="C3" s="11"/>
      <c r="D3" s="11"/>
      <c r="E3" s="11"/>
      <c r="F3" s="11"/>
      <c r="G3" s="11"/>
      <c r="H3" s="11"/>
      <c r="I3" s="11"/>
    </row>
    <row r="4" spans="1:9" x14ac:dyDescent="0.2">
      <c r="A4" s="11"/>
      <c r="B4" s="11"/>
      <c r="C4" s="11"/>
      <c r="D4" s="11"/>
      <c r="E4" s="11"/>
      <c r="F4" s="11"/>
      <c r="G4" s="11"/>
      <c r="H4" s="11"/>
      <c r="I4" s="11"/>
    </row>
    <row r="5" spans="1:9" x14ac:dyDescent="0.2">
      <c r="A5" s="11"/>
      <c r="B5" s="11"/>
      <c r="C5" s="11"/>
      <c r="D5" s="11"/>
      <c r="E5" s="11"/>
      <c r="F5" s="11"/>
      <c r="G5" s="11"/>
      <c r="H5" s="11"/>
      <c r="I5" s="11"/>
    </row>
    <row r="6" spans="1:9" x14ac:dyDescent="0.2">
      <c r="A6" s="11"/>
      <c r="B6" s="11"/>
      <c r="C6" s="11"/>
      <c r="D6" s="11"/>
      <c r="E6" s="11"/>
      <c r="F6" s="11"/>
      <c r="G6" s="11"/>
      <c r="H6" s="11"/>
      <c r="I6" s="11"/>
    </row>
    <row r="7" spans="1:9" x14ac:dyDescent="0.2">
      <c r="A7" s="11"/>
      <c r="B7" s="11"/>
      <c r="C7" s="11"/>
      <c r="D7" s="11"/>
      <c r="E7" s="11"/>
      <c r="F7" s="11"/>
      <c r="G7" s="11"/>
      <c r="H7" s="11"/>
      <c r="I7" s="11"/>
    </row>
    <row r="8" spans="1:9" x14ac:dyDescent="0.2">
      <c r="A8" s="11"/>
      <c r="B8" s="11"/>
      <c r="C8" s="11"/>
      <c r="D8" s="11"/>
      <c r="E8" s="11"/>
      <c r="F8" s="11"/>
      <c r="G8" s="11"/>
      <c r="H8" s="11"/>
      <c r="I8" s="11"/>
    </row>
    <row r="9" spans="1:9" x14ac:dyDescent="0.2">
      <c r="A9" s="11"/>
      <c r="B9" s="11"/>
      <c r="C9" s="11"/>
      <c r="D9" s="11"/>
      <c r="E9" s="11"/>
      <c r="F9" s="11"/>
      <c r="G9" s="11"/>
      <c r="H9" s="11"/>
      <c r="I9" s="11"/>
    </row>
    <row r="10" spans="1:9" x14ac:dyDescent="0.2">
      <c r="A10" s="11"/>
      <c r="B10" s="11"/>
      <c r="C10" s="11"/>
      <c r="D10" s="11"/>
      <c r="E10" s="11"/>
      <c r="F10" s="11"/>
      <c r="G10" s="11"/>
      <c r="H10" s="11"/>
      <c r="I10" s="11"/>
    </row>
    <row r="11" spans="1:9" x14ac:dyDescent="0.2">
      <c r="A11" s="11"/>
      <c r="B11" s="11"/>
      <c r="C11" s="11"/>
      <c r="D11" s="11"/>
      <c r="E11" s="11"/>
      <c r="F11" s="11"/>
      <c r="G11" s="11"/>
      <c r="H11" s="11"/>
      <c r="I11" s="11"/>
    </row>
    <row r="12" spans="1:9" x14ac:dyDescent="0.2">
      <c r="A12" s="11"/>
      <c r="B12" s="11"/>
      <c r="C12" s="11"/>
      <c r="D12" s="11"/>
      <c r="E12" s="11"/>
      <c r="F12" s="11"/>
      <c r="G12" s="11"/>
      <c r="H12" s="11"/>
      <c r="I12" s="11"/>
    </row>
    <row r="13" spans="1:9" x14ac:dyDescent="0.2">
      <c r="A13" s="11"/>
      <c r="B13" s="11"/>
      <c r="C13" s="11"/>
      <c r="D13" s="11"/>
      <c r="E13" s="11"/>
      <c r="F13" s="11"/>
      <c r="G13" s="11"/>
      <c r="H13" s="11"/>
      <c r="I13" s="11"/>
    </row>
    <row r="14" spans="1:9" x14ac:dyDescent="0.2">
      <c r="A14" s="11"/>
      <c r="B14" s="11"/>
      <c r="C14" s="11"/>
      <c r="D14" s="11"/>
      <c r="E14" s="11"/>
      <c r="F14" s="11"/>
      <c r="G14" s="11"/>
      <c r="H14" s="11"/>
      <c r="I14" s="11"/>
    </row>
    <row r="15" spans="1:9" x14ac:dyDescent="0.2">
      <c r="A15" s="11"/>
      <c r="B15" s="11"/>
      <c r="C15" s="11"/>
      <c r="D15" s="11"/>
      <c r="E15" s="11"/>
      <c r="F15" s="11"/>
      <c r="G15" s="11"/>
      <c r="H15" s="11"/>
      <c r="I15" s="11"/>
    </row>
    <row r="16" spans="1:9" x14ac:dyDescent="0.2">
      <c r="A16" s="11"/>
      <c r="B16" s="11"/>
      <c r="C16" s="11"/>
      <c r="D16" s="11"/>
      <c r="E16" s="11"/>
      <c r="F16" s="11"/>
      <c r="G16" s="11"/>
      <c r="H16" s="11"/>
      <c r="I16" s="11"/>
    </row>
    <row r="17" spans="1:9" x14ac:dyDescent="0.2">
      <c r="A17" s="11"/>
      <c r="B17" s="11"/>
      <c r="C17" s="11"/>
      <c r="D17" s="11"/>
      <c r="E17" s="11"/>
      <c r="F17" s="11"/>
      <c r="G17" s="11"/>
      <c r="H17" s="11"/>
      <c r="I17" s="11"/>
    </row>
    <row r="18" spans="1:9" x14ac:dyDescent="0.2">
      <c r="A18" s="11"/>
      <c r="B18" s="11"/>
      <c r="C18" s="11"/>
      <c r="D18" s="11"/>
      <c r="E18" s="11"/>
      <c r="F18" s="11"/>
      <c r="G18" s="11"/>
      <c r="H18" s="11"/>
      <c r="I18" s="11"/>
    </row>
    <row r="19" spans="1:9" x14ac:dyDescent="0.2">
      <c r="A19" s="11"/>
      <c r="B19" s="11"/>
      <c r="C19" s="11"/>
      <c r="D19" s="11"/>
      <c r="E19" s="11"/>
      <c r="F19" s="11"/>
      <c r="G19" s="11"/>
      <c r="H19" s="11"/>
      <c r="I19" s="11"/>
    </row>
    <row r="20" spans="1:9" x14ac:dyDescent="0.2">
      <c r="A20" s="11"/>
      <c r="B20" s="11"/>
      <c r="C20" s="11"/>
      <c r="D20" s="11"/>
      <c r="E20" s="11"/>
      <c r="F20" s="11"/>
      <c r="G20" s="11"/>
      <c r="H20" s="11"/>
      <c r="I20" s="11"/>
    </row>
  </sheetData>
  <mergeCells count="1">
    <mergeCell ref="A1:I20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3298C-B890-4A59-A1AD-E5C33CDF238B}">
  <dimension ref="A1:I20"/>
  <sheetViews>
    <sheetView workbookViewId="0">
      <selection activeCell="H23" sqref="H23"/>
    </sheetView>
  </sheetViews>
  <sheetFormatPr baseColWidth="10" defaultColWidth="8.83203125" defaultRowHeight="15" x14ac:dyDescent="0.2"/>
  <sheetData>
    <row r="1" spans="1:9" x14ac:dyDescent="0.2">
      <c r="A1" s="10" t="s">
        <v>8</v>
      </c>
      <c r="B1" s="11"/>
      <c r="C1" s="11"/>
      <c r="D1" s="11"/>
      <c r="E1" s="11"/>
      <c r="F1" s="11"/>
      <c r="G1" s="11"/>
      <c r="H1" s="11"/>
      <c r="I1" s="11"/>
    </row>
    <row r="2" spans="1:9" x14ac:dyDescent="0.2">
      <c r="A2" s="11"/>
      <c r="B2" s="11"/>
      <c r="C2" s="11"/>
      <c r="D2" s="11"/>
      <c r="E2" s="11"/>
      <c r="F2" s="11"/>
      <c r="G2" s="11"/>
      <c r="H2" s="11"/>
      <c r="I2" s="11"/>
    </row>
    <row r="3" spans="1:9" x14ac:dyDescent="0.2">
      <c r="A3" s="11"/>
      <c r="B3" s="11"/>
      <c r="C3" s="11"/>
      <c r="D3" s="11"/>
      <c r="E3" s="11"/>
      <c r="F3" s="11"/>
      <c r="G3" s="11"/>
      <c r="H3" s="11"/>
      <c r="I3" s="11"/>
    </row>
    <row r="4" spans="1:9" x14ac:dyDescent="0.2">
      <c r="A4" s="11"/>
      <c r="B4" s="11"/>
      <c r="C4" s="11"/>
      <c r="D4" s="11"/>
      <c r="E4" s="11"/>
      <c r="F4" s="11"/>
      <c r="G4" s="11"/>
      <c r="H4" s="11"/>
      <c r="I4" s="11"/>
    </row>
    <row r="5" spans="1:9" x14ac:dyDescent="0.2">
      <c r="A5" s="11"/>
      <c r="B5" s="11"/>
      <c r="C5" s="11"/>
      <c r="D5" s="11"/>
      <c r="E5" s="11"/>
      <c r="F5" s="11"/>
      <c r="G5" s="11"/>
      <c r="H5" s="11"/>
      <c r="I5" s="11"/>
    </row>
    <row r="6" spans="1:9" x14ac:dyDescent="0.2">
      <c r="A6" s="11"/>
      <c r="B6" s="11"/>
      <c r="C6" s="11"/>
      <c r="D6" s="11"/>
      <c r="E6" s="11"/>
      <c r="F6" s="11"/>
      <c r="G6" s="11"/>
      <c r="H6" s="11"/>
      <c r="I6" s="11"/>
    </row>
    <row r="7" spans="1:9" x14ac:dyDescent="0.2">
      <c r="A7" s="11"/>
      <c r="B7" s="11"/>
      <c r="C7" s="11"/>
      <c r="D7" s="11"/>
      <c r="E7" s="11"/>
      <c r="F7" s="11"/>
      <c r="G7" s="11"/>
      <c r="H7" s="11"/>
      <c r="I7" s="11"/>
    </row>
    <row r="8" spans="1:9" x14ac:dyDescent="0.2">
      <c r="A8" s="11"/>
      <c r="B8" s="11"/>
      <c r="C8" s="11"/>
      <c r="D8" s="11"/>
      <c r="E8" s="11"/>
      <c r="F8" s="11"/>
      <c r="G8" s="11"/>
      <c r="H8" s="11"/>
      <c r="I8" s="11"/>
    </row>
    <row r="9" spans="1:9" x14ac:dyDescent="0.2">
      <c r="A9" s="11"/>
      <c r="B9" s="11"/>
      <c r="C9" s="11"/>
      <c r="D9" s="11"/>
      <c r="E9" s="11"/>
      <c r="F9" s="11"/>
      <c r="G9" s="11"/>
      <c r="H9" s="11"/>
      <c r="I9" s="11"/>
    </row>
    <row r="10" spans="1:9" x14ac:dyDescent="0.2">
      <c r="A10" s="11"/>
      <c r="B10" s="11"/>
      <c r="C10" s="11"/>
      <c r="D10" s="11"/>
      <c r="E10" s="11"/>
      <c r="F10" s="11"/>
      <c r="G10" s="11"/>
      <c r="H10" s="11"/>
      <c r="I10" s="11"/>
    </row>
    <row r="11" spans="1:9" x14ac:dyDescent="0.2">
      <c r="A11" s="11"/>
      <c r="B11" s="11"/>
      <c r="C11" s="11"/>
      <c r="D11" s="11"/>
      <c r="E11" s="11"/>
      <c r="F11" s="11"/>
      <c r="G11" s="11"/>
      <c r="H11" s="11"/>
      <c r="I11" s="11"/>
    </row>
    <row r="12" spans="1:9" x14ac:dyDescent="0.2">
      <c r="A12" s="11"/>
      <c r="B12" s="11"/>
      <c r="C12" s="11"/>
      <c r="D12" s="11"/>
      <c r="E12" s="11"/>
      <c r="F12" s="11"/>
      <c r="G12" s="11"/>
      <c r="H12" s="11"/>
      <c r="I12" s="11"/>
    </row>
    <row r="13" spans="1:9" x14ac:dyDescent="0.2">
      <c r="A13" s="11"/>
      <c r="B13" s="11"/>
      <c r="C13" s="11"/>
      <c r="D13" s="11"/>
      <c r="E13" s="11"/>
      <c r="F13" s="11"/>
      <c r="G13" s="11"/>
      <c r="H13" s="11"/>
      <c r="I13" s="11"/>
    </row>
    <row r="14" spans="1:9" x14ac:dyDescent="0.2">
      <c r="A14" s="11"/>
      <c r="B14" s="11"/>
      <c r="C14" s="11"/>
      <c r="D14" s="11"/>
      <c r="E14" s="11"/>
      <c r="F14" s="11"/>
      <c r="G14" s="11"/>
      <c r="H14" s="11"/>
      <c r="I14" s="11"/>
    </row>
    <row r="15" spans="1:9" x14ac:dyDescent="0.2">
      <c r="A15" s="11"/>
      <c r="B15" s="11"/>
      <c r="C15" s="11"/>
      <c r="D15" s="11"/>
      <c r="E15" s="11"/>
      <c r="F15" s="11"/>
      <c r="G15" s="11"/>
      <c r="H15" s="11"/>
      <c r="I15" s="11"/>
    </row>
    <row r="16" spans="1:9" x14ac:dyDescent="0.2">
      <c r="A16" s="11"/>
      <c r="B16" s="11"/>
      <c r="C16" s="11"/>
      <c r="D16" s="11"/>
      <c r="E16" s="11"/>
      <c r="F16" s="11"/>
      <c r="G16" s="11"/>
      <c r="H16" s="11"/>
      <c r="I16" s="11"/>
    </row>
    <row r="17" spans="1:9" x14ac:dyDescent="0.2">
      <c r="A17" s="11"/>
      <c r="B17" s="11"/>
      <c r="C17" s="11"/>
      <c r="D17" s="11"/>
      <c r="E17" s="11"/>
      <c r="F17" s="11"/>
      <c r="G17" s="11"/>
      <c r="H17" s="11"/>
      <c r="I17" s="11"/>
    </row>
    <row r="18" spans="1:9" x14ac:dyDescent="0.2">
      <c r="A18" s="11"/>
      <c r="B18" s="11"/>
      <c r="C18" s="11"/>
      <c r="D18" s="11"/>
      <c r="E18" s="11"/>
      <c r="F18" s="11"/>
      <c r="G18" s="11"/>
      <c r="H18" s="11"/>
      <c r="I18" s="11"/>
    </row>
    <row r="19" spans="1:9" x14ac:dyDescent="0.2">
      <c r="A19" s="11"/>
      <c r="B19" s="11"/>
      <c r="C19" s="11"/>
      <c r="D19" s="11"/>
      <c r="E19" s="11"/>
      <c r="F19" s="11"/>
      <c r="G19" s="11"/>
      <c r="H19" s="11"/>
      <c r="I19" s="11"/>
    </row>
    <row r="20" spans="1:9" x14ac:dyDescent="0.2">
      <c r="A20" s="11"/>
      <c r="B20" s="11"/>
      <c r="C20" s="11"/>
      <c r="D20" s="11"/>
      <c r="E20" s="11"/>
      <c r="F20" s="11"/>
      <c r="G20" s="11"/>
      <c r="H20" s="11"/>
      <c r="I20" s="11"/>
    </row>
  </sheetData>
  <mergeCells count="1">
    <mergeCell ref="A1:I20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7041-45F6-4C1C-B0EA-283828374ED7}">
  <dimension ref="A1:I20"/>
  <sheetViews>
    <sheetView workbookViewId="0">
      <selection activeCell="J1" sqref="J1"/>
    </sheetView>
  </sheetViews>
  <sheetFormatPr baseColWidth="10" defaultColWidth="8.83203125" defaultRowHeight="15" x14ac:dyDescent="0.2"/>
  <sheetData>
    <row r="1" spans="1:9" x14ac:dyDescent="0.2">
      <c r="A1" s="10" t="s">
        <v>9</v>
      </c>
      <c r="B1" s="11"/>
      <c r="C1" s="11"/>
      <c r="D1" s="11"/>
      <c r="E1" s="11"/>
      <c r="F1" s="11"/>
      <c r="G1" s="11"/>
      <c r="H1" s="11"/>
      <c r="I1" s="11"/>
    </row>
    <row r="2" spans="1:9" x14ac:dyDescent="0.2">
      <c r="A2" s="11"/>
      <c r="B2" s="11"/>
      <c r="C2" s="11"/>
      <c r="D2" s="11"/>
      <c r="E2" s="11"/>
      <c r="F2" s="11"/>
      <c r="G2" s="11"/>
      <c r="H2" s="11"/>
      <c r="I2" s="11"/>
    </row>
    <row r="3" spans="1:9" x14ac:dyDescent="0.2">
      <c r="A3" s="11"/>
      <c r="B3" s="11"/>
      <c r="C3" s="11"/>
      <c r="D3" s="11"/>
      <c r="E3" s="11"/>
      <c r="F3" s="11"/>
      <c r="G3" s="11"/>
      <c r="H3" s="11"/>
      <c r="I3" s="11"/>
    </row>
    <row r="4" spans="1:9" x14ac:dyDescent="0.2">
      <c r="A4" s="11"/>
      <c r="B4" s="11"/>
      <c r="C4" s="11"/>
      <c r="D4" s="11"/>
      <c r="E4" s="11"/>
      <c r="F4" s="11"/>
      <c r="G4" s="11"/>
      <c r="H4" s="11"/>
      <c r="I4" s="11"/>
    </row>
    <row r="5" spans="1:9" x14ac:dyDescent="0.2">
      <c r="A5" s="11"/>
      <c r="B5" s="11"/>
      <c r="C5" s="11"/>
      <c r="D5" s="11"/>
      <c r="E5" s="11"/>
      <c r="F5" s="11"/>
      <c r="G5" s="11"/>
      <c r="H5" s="11"/>
      <c r="I5" s="11"/>
    </row>
    <row r="6" spans="1:9" x14ac:dyDescent="0.2">
      <c r="A6" s="11"/>
      <c r="B6" s="11"/>
      <c r="C6" s="11"/>
      <c r="D6" s="11"/>
      <c r="E6" s="11"/>
      <c r="F6" s="11"/>
      <c r="G6" s="11"/>
      <c r="H6" s="11"/>
      <c r="I6" s="11"/>
    </row>
    <row r="7" spans="1:9" x14ac:dyDescent="0.2">
      <c r="A7" s="11"/>
      <c r="B7" s="11"/>
      <c r="C7" s="11"/>
      <c r="D7" s="11"/>
      <c r="E7" s="11"/>
      <c r="F7" s="11"/>
      <c r="G7" s="11"/>
      <c r="H7" s="11"/>
      <c r="I7" s="11"/>
    </row>
    <row r="8" spans="1:9" x14ac:dyDescent="0.2">
      <c r="A8" s="11"/>
      <c r="B8" s="11"/>
      <c r="C8" s="11"/>
      <c r="D8" s="11"/>
      <c r="E8" s="11"/>
      <c r="F8" s="11"/>
      <c r="G8" s="11"/>
      <c r="H8" s="11"/>
      <c r="I8" s="11"/>
    </row>
    <row r="9" spans="1:9" x14ac:dyDescent="0.2">
      <c r="A9" s="11"/>
      <c r="B9" s="11"/>
      <c r="C9" s="11"/>
      <c r="D9" s="11"/>
      <c r="E9" s="11"/>
      <c r="F9" s="11"/>
      <c r="G9" s="11"/>
      <c r="H9" s="11"/>
      <c r="I9" s="11"/>
    </row>
    <row r="10" spans="1:9" x14ac:dyDescent="0.2">
      <c r="A10" s="11"/>
      <c r="B10" s="11"/>
      <c r="C10" s="11"/>
      <c r="D10" s="11"/>
      <c r="E10" s="11"/>
      <c r="F10" s="11"/>
      <c r="G10" s="11"/>
      <c r="H10" s="11"/>
      <c r="I10" s="11"/>
    </row>
    <row r="11" spans="1:9" x14ac:dyDescent="0.2">
      <c r="A11" s="11"/>
      <c r="B11" s="11"/>
      <c r="C11" s="11"/>
      <c r="D11" s="11"/>
      <c r="E11" s="11"/>
      <c r="F11" s="11"/>
      <c r="G11" s="11"/>
      <c r="H11" s="11"/>
      <c r="I11" s="11"/>
    </row>
    <row r="12" spans="1:9" x14ac:dyDescent="0.2">
      <c r="A12" s="11"/>
      <c r="B12" s="11"/>
      <c r="C12" s="11"/>
      <c r="D12" s="11"/>
      <c r="E12" s="11"/>
      <c r="F12" s="11"/>
      <c r="G12" s="11"/>
      <c r="H12" s="11"/>
      <c r="I12" s="11"/>
    </row>
    <row r="13" spans="1:9" x14ac:dyDescent="0.2">
      <c r="A13" s="11"/>
      <c r="B13" s="11"/>
      <c r="C13" s="11"/>
      <c r="D13" s="11"/>
      <c r="E13" s="11"/>
      <c r="F13" s="11"/>
      <c r="G13" s="11"/>
      <c r="H13" s="11"/>
      <c r="I13" s="11"/>
    </row>
    <row r="14" spans="1:9" x14ac:dyDescent="0.2">
      <c r="A14" s="11"/>
      <c r="B14" s="11"/>
      <c r="C14" s="11"/>
      <c r="D14" s="11"/>
      <c r="E14" s="11"/>
      <c r="F14" s="11"/>
      <c r="G14" s="11"/>
      <c r="H14" s="11"/>
      <c r="I14" s="11"/>
    </row>
    <row r="15" spans="1:9" x14ac:dyDescent="0.2">
      <c r="A15" s="11"/>
      <c r="B15" s="11"/>
      <c r="C15" s="11"/>
      <c r="D15" s="11"/>
      <c r="E15" s="11"/>
      <c r="F15" s="11"/>
      <c r="G15" s="11"/>
      <c r="H15" s="11"/>
      <c r="I15" s="11"/>
    </row>
    <row r="16" spans="1:9" x14ac:dyDescent="0.2">
      <c r="A16" s="11"/>
      <c r="B16" s="11"/>
      <c r="C16" s="11"/>
      <c r="D16" s="11"/>
      <c r="E16" s="11"/>
      <c r="F16" s="11"/>
      <c r="G16" s="11"/>
      <c r="H16" s="11"/>
      <c r="I16" s="11"/>
    </row>
    <row r="17" spans="1:9" x14ac:dyDescent="0.2">
      <c r="A17" s="11"/>
      <c r="B17" s="11"/>
      <c r="C17" s="11"/>
      <c r="D17" s="11"/>
      <c r="E17" s="11"/>
      <c r="F17" s="11"/>
      <c r="G17" s="11"/>
      <c r="H17" s="11"/>
      <c r="I17" s="11"/>
    </row>
    <row r="18" spans="1:9" x14ac:dyDescent="0.2">
      <c r="A18" s="11"/>
      <c r="B18" s="11"/>
      <c r="C18" s="11"/>
      <c r="D18" s="11"/>
      <c r="E18" s="11"/>
      <c r="F18" s="11"/>
      <c r="G18" s="11"/>
      <c r="H18" s="11"/>
      <c r="I18" s="11"/>
    </row>
    <row r="19" spans="1:9" x14ac:dyDescent="0.2">
      <c r="A19" s="11"/>
      <c r="B19" s="11"/>
      <c r="C19" s="11"/>
      <c r="D19" s="11"/>
      <c r="E19" s="11"/>
      <c r="F19" s="11"/>
      <c r="G19" s="11"/>
      <c r="H19" s="11"/>
      <c r="I19" s="11"/>
    </row>
    <row r="20" spans="1:9" x14ac:dyDescent="0.2">
      <c r="A20" s="11"/>
      <c r="B20" s="11"/>
      <c r="C20" s="11"/>
      <c r="D20" s="11"/>
      <c r="E20" s="11"/>
      <c r="F20" s="11"/>
      <c r="G20" s="11"/>
      <c r="H20" s="11"/>
      <c r="I20" s="11"/>
    </row>
  </sheetData>
  <mergeCells count="1">
    <mergeCell ref="A1:I20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E2311-93D6-44F9-91C3-958CA0B9FD2B}">
  <dimension ref="A1:I20"/>
  <sheetViews>
    <sheetView workbookViewId="0">
      <selection activeCell="I27" sqref="I27"/>
    </sheetView>
  </sheetViews>
  <sheetFormatPr baseColWidth="10" defaultColWidth="8.83203125" defaultRowHeight="15" x14ac:dyDescent="0.2"/>
  <sheetData>
    <row r="1" spans="1:9" x14ac:dyDescent="0.2">
      <c r="A1" s="10" t="s">
        <v>10</v>
      </c>
      <c r="B1" s="11"/>
      <c r="C1" s="11"/>
      <c r="D1" s="11"/>
      <c r="E1" s="11"/>
      <c r="F1" s="11"/>
      <c r="G1" s="11"/>
      <c r="H1" s="11"/>
      <c r="I1" s="11"/>
    </row>
    <row r="2" spans="1:9" x14ac:dyDescent="0.2">
      <c r="A2" s="11"/>
      <c r="B2" s="11"/>
      <c r="C2" s="11"/>
      <c r="D2" s="11"/>
      <c r="E2" s="11"/>
      <c r="F2" s="11"/>
      <c r="G2" s="11"/>
      <c r="H2" s="11"/>
      <c r="I2" s="11"/>
    </row>
    <row r="3" spans="1:9" x14ac:dyDescent="0.2">
      <c r="A3" s="11"/>
      <c r="B3" s="11"/>
      <c r="C3" s="11"/>
      <c r="D3" s="11"/>
      <c r="E3" s="11"/>
      <c r="F3" s="11"/>
      <c r="G3" s="11"/>
      <c r="H3" s="11"/>
      <c r="I3" s="11"/>
    </row>
    <row r="4" spans="1:9" x14ac:dyDescent="0.2">
      <c r="A4" s="11"/>
      <c r="B4" s="11"/>
      <c r="C4" s="11"/>
      <c r="D4" s="11"/>
      <c r="E4" s="11"/>
      <c r="F4" s="11"/>
      <c r="G4" s="11"/>
      <c r="H4" s="11"/>
      <c r="I4" s="11"/>
    </row>
    <row r="5" spans="1:9" x14ac:dyDescent="0.2">
      <c r="A5" s="11"/>
      <c r="B5" s="11"/>
      <c r="C5" s="11"/>
      <c r="D5" s="11"/>
      <c r="E5" s="11"/>
      <c r="F5" s="11"/>
      <c r="G5" s="11"/>
      <c r="H5" s="11"/>
      <c r="I5" s="11"/>
    </row>
    <row r="6" spans="1:9" x14ac:dyDescent="0.2">
      <c r="A6" s="11"/>
      <c r="B6" s="11"/>
      <c r="C6" s="11"/>
      <c r="D6" s="11"/>
      <c r="E6" s="11"/>
      <c r="F6" s="11"/>
      <c r="G6" s="11"/>
      <c r="H6" s="11"/>
      <c r="I6" s="11"/>
    </row>
    <row r="7" spans="1:9" x14ac:dyDescent="0.2">
      <c r="A7" s="11"/>
      <c r="B7" s="11"/>
      <c r="C7" s="11"/>
      <c r="D7" s="11"/>
      <c r="E7" s="11"/>
      <c r="F7" s="11"/>
      <c r="G7" s="11"/>
      <c r="H7" s="11"/>
      <c r="I7" s="11"/>
    </row>
    <row r="8" spans="1:9" x14ac:dyDescent="0.2">
      <c r="A8" s="11"/>
      <c r="B8" s="11"/>
      <c r="C8" s="11"/>
      <c r="D8" s="11"/>
      <c r="E8" s="11"/>
      <c r="F8" s="11"/>
      <c r="G8" s="11"/>
      <c r="H8" s="11"/>
      <c r="I8" s="11"/>
    </row>
    <row r="9" spans="1:9" x14ac:dyDescent="0.2">
      <c r="A9" s="11"/>
      <c r="B9" s="11"/>
      <c r="C9" s="11"/>
      <c r="D9" s="11"/>
      <c r="E9" s="11"/>
      <c r="F9" s="11"/>
      <c r="G9" s="11"/>
      <c r="H9" s="11"/>
      <c r="I9" s="11"/>
    </row>
    <row r="10" spans="1:9" x14ac:dyDescent="0.2">
      <c r="A10" s="11"/>
      <c r="B10" s="11"/>
      <c r="C10" s="11"/>
      <c r="D10" s="11"/>
      <c r="E10" s="11"/>
      <c r="F10" s="11"/>
      <c r="G10" s="11"/>
      <c r="H10" s="11"/>
      <c r="I10" s="11"/>
    </row>
    <row r="11" spans="1:9" x14ac:dyDescent="0.2">
      <c r="A11" s="11"/>
      <c r="B11" s="11"/>
      <c r="C11" s="11"/>
      <c r="D11" s="11"/>
      <c r="E11" s="11"/>
      <c r="F11" s="11"/>
      <c r="G11" s="11"/>
      <c r="H11" s="11"/>
      <c r="I11" s="11"/>
    </row>
    <row r="12" spans="1:9" x14ac:dyDescent="0.2">
      <c r="A12" s="11"/>
      <c r="B12" s="11"/>
      <c r="C12" s="11"/>
      <c r="D12" s="11"/>
      <c r="E12" s="11"/>
      <c r="F12" s="11"/>
      <c r="G12" s="11"/>
      <c r="H12" s="11"/>
      <c r="I12" s="11"/>
    </row>
    <row r="13" spans="1:9" x14ac:dyDescent="0.2">
      <c r="A13" s="11"/>
      <c r="B13" s="11"/>
      <c r="C13" s="11"/>
      <c r="D13" s="11"/>
      <c r="E13" s="11"/>
      <c r="F13" s="11"/>
      <c r="G13" s="11"/>
      <c r="H13" s="11"/>
      <c r="I13" s="11"/>
    </row>
    <row r="14" spans="1:9" x14ac:dyDescent="0.2">
      <c r="A14" s="11"/>
      <c r="B14" s="11"/>
      <c r="C14" s="11"/>
      <c r="D14" s="11"/>
      <c r="E14" s="11"/>
      <c r="F14" s="11"/>
      <c r="G14" s="11"/>
      <c r="H14" s="11"/>
      <c r="I14" s="11"/>
    </row>
    <row r="15" spans="1:9" x14ac:dyDescent="0.2">
      <c r="A15" s="11"/>
      <c r="B15" s="11"/>
      <c r="C15" s="11"/>
      <c r="D15" s="11"/>
      <c r="E15" s="11"/>
      <c r="F15" s="11"/>
      <c r="G15" s="11"/>
      <c r="H15" s="11"/>
      <c r="I15" s="11"/>
    </row>
    <row r="16" spans="1:9" x14ac:dyDescent="0.2">
      <c r="A16" s="11"/>
      <c r="B16" s="11"/>
      <c r="C16" s="11"/>
      <c r="D16" s="11"/>
      <c r="E16" s="11"/>
      <c r="F16" s="11"/>
      <c r="G16" s="11"/>
      <c r="H16" s="11"/>
      <c r="I16" s="11"/>
    </row>
    <row r="17" spans="1:9" x14ac:dyDescent="0.2">
      <c r="A17" s="11"/>
      <c r="B17" s="11"/>
      <c r="C17" s="11"/>
      <c r="D17" s="11"/>
      <c r="E17" s="11"/>
      <c r="F17" s="11"/>
      <c r="G17" s="11"/>
      <c r="H17" s="11"/>
      <c r="I17" s="11"/>
    </row>
    <row r="18" spans="1:9" x14ac:dyDescent="0.2">
      <c r="A18" s="11"/>
      <c r="B18" s="11"/>
      <c r="C18" s="11"/>
      <c r="D18" s="11"/>
      <c r="E18" s="11"/>
      <c r="F18" s="11"/>
      <c r="G18" s="11"/>
      <c r="H18" s="11"/>
      <c r="I18" s="11"/>
    </row>
    <row r="19" spans="1:9" x14ac:dyDescent="0.2">
      <c r="A19" s="11"/>
      <c r="B19" s="11"/>
      <c r="C19" s="11"/>
      <c r="D19" s="11"/>
      <c r="E19" s="11"/>
      <c r="F19" s="11"/>
      <c r="G19" s="11"/>
      <c r="H19" s="11"/>
      <c r="I19" s="11"/>
    </row>
    <row r="20" spans="1:9" x14ac:dyDescent="0.2">
      <c r="A20" s="11"/>
      <c r="B20" s="11"/>
      <c r="C20" s="11"/>
      <c r="D20" s="11"/>
      <c r="E20" s="11"/>
      <c r="F20" s="11"/>
      <c r="G20" s="11"/>
      <c r="H20" s="11"/>
      <c r="I20" s="11"/>
    </row>
  </sheetData>
  <mergeCells count="1">
    <mergeCell ref="A1:I20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099F7-20FA-4AD2-8BF6-6A50113AB0BC}">
  <dimension ref="A1:I20"/>
  <sheetViews>
    <sheetView workbookViewId="0">
      <selection activeCell="J1" sqref="J1"/>
    </sheetView>
  </sheetViews>
  <sheetFormatPr baseColWidth="10" defaultColWidth="8.83203125" defaultRowHeight="15" x14ac:dyDescent="0.2"/>
  <sheetData>
    <row r="1" spans="1:9" x14ac:dyDescent="0.2">
      <c r="A1" s="10" t="s">
        <v>11</v>
      </c>
      <c r="B1" s="11"/>
      <c r="C1" s="11"/>
      <c r="D1" s="11"/>
      <c r="E1" s="11"/>
      <c r="F1" s="11"/>
      <c r="G1" s="11"/>
      <c r="H1" s="11"/>
      <c r="I1" s="11"/>
    </row>
    <row r="2" spans="1:9" x14ac:dyDescent="0.2">
      <c r="A2" s="11"/>
      <c r="B2" s="11"/>
      <c r="C2" s="11"/>
      <c r="D2" s="11"/>
      <c r="E2" s="11"/>
      <c r="F2" s="11"/>
      <c r="G2" s="11"/>
      <c r="H2" s="11"/>
      <c r="I2" s="11"/>
    </row>
    <row r="3" spans="1:9" x14ac:dyDescent="0.2">
      <c r="A3" s="11"/>
      <c r="B3" s="11"/>
      <c r="C3" s="11"/>
      <c r="D3" s="11"/>
      <c r="E3" s="11"/>
      <c r="F3" s="11"/>
      <c r="G3" s="11"/>
      <c r="H3" s="11"/>
      <c r="I3" s="11"/>
    </row>
    <row r="4" spans="1:9" x14ac:dyDescent="0.2">
      <c r="A4" s="11"/>
      <c r="B4" s="11"/>
      <c r="C4" s="11"/>
      <c r="D4" s="11"/>
      <c r="E4" s="11"/>
      <c r="F4" s="11"/>
      <c r="G4" s="11"/>
      <c r="H4" s="11"/>
      <c r="I4" s="11"/>
    </row>
    <row r="5" spans="1:9" x14ac:dyDescent="0.2">
      <c r="A5" s="11"/>
      <c r="B5" s="11"/>
      <c r="C5" s="11"/>
      <c r="D5" s="11"/>
      <c r="E5" s="11"/>
      <c r="F5" s="11"/>
      <c r="G5" s="11"/>
      <c r="H5" s="11"/>
      <c r="I5" s="11"/>
    </row>
    <row r="6" spans="1:9" x14ac:dyDescent="0.2">
      <c r="A6" s="11"/>
      <c r="B6" s="11"/>
      <c r="C6" s="11"/>
      <c r="D6" s="11"/>
      <c r="E6" s="11"/>
      <c r="F6" s="11"/>
      <c r="G6" s="11"/>
      <c r="H6" s="11"/>
      <c r="I6" s="11"/>
    </row>
    <row r="7" spans="1:9" x14ac:dyDescent="0.2">
      <c r="A7" s="11"/>
      <c r="B7" s="11"/>
      <c r="C7" s="11"/>
      <c r="D7" s="11"/>
      <c r="E7" s="11"/>
      <c r="F7" s="11"/>
      <c r="G7" s="11"/>
      <c r="H7" s="11"/>
      <c r="I7" s="11"/>
    </row>
    <row r="8" spans="1:9" x14ac:dyDescent="0.2">
      <c r="A8" s="11"/>
      <c r="B8" s="11"/>
      <c r="C8" s="11"/>
      <c r="D8" s="11"/>
      <c r="E8" s="11"/>
      <c r="F8" s="11"/>
      <c r="G8" s="11"/>
      <c r="H8" s="11"/>
      <c r="I8" s="11"/>
    </row>
    <row r="9" spans="1:9" x14ac:dyDescent="0.2">
      <c r="A9" s="11"/>
      <c r="B9" s="11"/>
      <c r="C9" s="11"/>
      <c r="D9" s="11"/>
      <c r="E9" s="11"/>
      <c r="F9" s="11"/>
      <c r="G9" s="11"/>
      <c r="H9" s="11"/>
      <c r="I9" s="11"/>
    </row>
    <row r="10" spans="1:9" x14ac:dyDescent="0.2">
      <c r="A10" s="11"/>
      <c r="B10" s="11"/>
      <c r="C10" s="11"/>
      <c r="D10" s="11"/>
      <c r="E10" s="11"/>
      <c r="F10" s="11"/>
      <c r="G10" s="11"/>
      <c r="H10" s="11"/>
      <c r="I10" s="11"/>
    </row>
    <row r="11" spans="1:9" x14ac:dyDescent="0.2">
      <c r="A11" s="11"/>
      <c r="B11" s="11"/>
      <c r="C11" s="11"/>
      <c r="D11" s="11"/>
      <c r="E11" s="11"/>
      <c r="F11" s="11"/>
      <c r="G11" s="11"/>
      <c r="H11" s="11"/>
      <c r="I11" s="11"/>
    </row>
    <row r="12" spans="1:9" x14ac:dyDescent="0.2">
      <c r="A12" s="11"/>
      <c r="B12" s="11"/>
      <c r="C12" s="11"/>
      <c r="D12" s="11"/>
      <c r="E12" s="11"/>
      <c r="F12" s="11"/>
      <c r="G12" s="11"/>
      <c r="H12" s="11"/>
      <c r="I12" s="11"/>
    </row>
    <row r="13" spans="1:9" x14ac:dyDescent="0.2">
      <c r="A13" s="11"/>
      <c r="B13" s="11"/>
      <c r="C13" s="11"/>
      <c r="D13" s="11"/>
      <c r="E13" s="11"/>
      <c r="F13" s="11"/>
      <c r="G13" s="11"/>
      <c r="H13" s="11"/>
      <c r="I13" s="11"/>
    </row>
    <row r="14" spans="1:9" x14ac:dyDescent="0.2">
      <c r="A14" s="11"/>
      <c r="B14" s="11"/>
      <c r="C14" s="11"/>
      <c r="D14" s="11"/>
      <c r="E14" s="11"/>
      <c r="F14" s="11"/>
      <c r="G14" s="11"/>
      <c r="H14" s="11"/>
      <c r="I14" s="11"/>
    </row>
    <row r="15" spans="1:9" x14ac:dyDescent="0.2">
      <c r="A15" s="11"/>
      <c r="B15" s="11"/>
      <c r="C15" s="11"/>
      <c r="D15" s="11"/>
      <c r="E15" s="11"/>
      <c r="F15" s="11"/>
      <c r="G15" s="11"/>
      <c r="H15" s="11"/>
      <c r="I15" s="11"/>
    </row>
    <row r="16" spans="1:9" x14ac:dyDescent="0.2">
      <c r="A16" s="11"/>
      <c r="B16" s="11"/>
      <c r="C16" s="11"/>
      <c r="D16" s="11"/>
      <c r="E16" s="11"/>
      <c r="F16" s="11"/>
      <c r="G16" s="11"/>
      <c r="H16" s="11"/>
      <c r="I16" s="11"/>
    </row>
    <row r="17" spans="1:9" x14ac:dyDescent="0.2">
      <c r="A17" s="11"/>
      <c r="B17" s="11"/>
      <c r="C17" s="11"/>
      <c r="D17" s="11"/>
      <c r="E17" s="11"/>
      <c r="F17" s="11"/>
      <c r="G17" s="11"/>
      <c r="H17" s="11"/>
      <c r="I17" s="11"/>
    </row>
    <row r="18" spans="1:9" x14ac:dyDescent="0.2">
      <c r="A18" s="11"/>
      <c r="B18" s="11"/>
      <c r="C18" s="11"/>
      <c r="D18" s="11"/>
      <c r="E18" s="11"/>
      <c r="F18" s="11"/>
      <c r="G18" s="11"/>
      <c r="H18" s="11"/>
      <c r="I18" s="11"/>
    </row>
    <row r="19" spans="1:9" x14ac:dyDescent="0.2">
      <c r="A19" s="11"/>
      <c r="B19" s="11"/>
      <c r="C19" s="11"/>
      <c r="D19" s="11"/>
      <c r="E19" s="11"/>
      <c r="F19" s="11"/>
      <c r="G19" s="11"/>
      <c r="H19" s="11"/>
      <c r="I19" s="11"/>
    </row>
    <row r="20" spans="1:9" x14ac:dyDescent="0.2">
      <c r="A20" s="11"/>
      <c r="B20" s="11"/>
      <c r="C20" s="11"/>
      <c r="D20" s="11"/>
      <c r="E20" s="11"/>
      <c r="F20" s="11"/>
      <c r="G20" s="11"/>
      <c r="H20" s="11"/>
      <c r="I20" s="11"/>
    </row>
  </sheetData>
  <mergeCells count="1">
    <mergeCell ref="A1:I20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8A1A6-0980-4010-9640-5F9F32ADB092}">
  <dimension ref="A1:I20"/>
  <sheetViews>
    <sheetView workbookViewId="0">
      <selection activeCell="F22" sqref="F22"/>
    </sheetView>
  </sheetViews>
  <sheetFormatPr baseColWidth="10" defaultColWidth="8.83203125" defaultRowHeight="15" x14ac:dyDescent="0.2"/>
  <sheetData>
    <row r="1" spans="1:9" x14ac:dyDescent="0.2">
      <c r="A1" s="10" t="s">
        <v>12</v>
      </c>
      <c r="B1" s="11"/>
      <c r="C1" s="11"/>
      <c r="D1" s="11"/>
      <c r="E1" s="11"/>
      <c r="F1" s="11"/>
      <c r="G1" s="11"/>
      <c r="H1" s="11"/>
      <c r="I1" s="11"/>
    </row>
    <row r="2" spans="1:9" x14ac:dyDescent="0.2">
      <c r="A2" s="11"/>
      <c r="B2" s="11"/>
      <c r="C2" s="11"/>
      <c r="D2" s="11"/>
      <c r="E2" s="11"/>
      <c r="F2" s="11"/>
      <c r="G2" s="11"/>
      <c r="H2" s="11"/>
      <c r="I2" s="11"/>
    </row>
    <row r="3" spans="1:9" x14ac:dyDescent="0.2">
      <c r="A3" s="11"/>
      <c r="B3" s="11"/>
      <c r="C3" s="11"/>
      <c r="D3" s="11"/>
      <c r="E3" s="11"/>
      <c r="F3" s="11"/>
      <c r="G3" s="11"/>
      <c r="H3" s="11"/>
      <c r="I3" s="11"/>
    </row>
    <row r="4" spans="1:9" x14ac:dyDescent="0.2">
      <c r="A4" s="11"/>
      <c r="B4" s="11"/>
      <c r="C4" s="11"/>
      <c r="D4" s="11"/>
      <c r="E4" s="11"/>
      <c r="F4" s="11"/>
      <c r="G4" s="11"/>
      <c r="H4" s="11"/>
      <c r="I4" s="11"/>
    </row>
    <row r="5" spans="1:9" x14ac:dyDescent="0.2">
      <c r="A5" s="11"/>
      <c r="B5" s="11"/>
      <c r="C5" s="11"/>
      <c r="D5" s="11"/>
      <c r="E5" s="11"/>
      <c r="F5" s="11"/>
      <c r="G5" s="11"/>
      <c r="H5" s="11"/>
      <c r="I5" s="11"/>
    </row>
    <row r="6" spans="1:9" x14ac:dyDescent="0.2">
      <c r="A6" s="11"/>
      <c r="B6" s="11"/>
      <c r="C6" s="11"/>
      <c r="D6" s="11"/>
      <c r="E6" s="11"/>
      <c r="F6" s="11"/>
      <c r="G6" s="11"/>
      <c r="H6" s="11"/>
      <c r="I6" s="11"/>
    </row>
    <row r="7" spans="1:9" x14ac:dyDescent="0.2">
      <c r="A7" s="11"/>
      <c r="B7" s="11"/>
      <c r="C7" s="11"/>
      <c r="D7" s="11"/>
      <c r="E7" s="11"/>
      <c r="F7" s="11"/>
      <c r="G7" s="11"/>
      <c r="H7" s="11"/>
      <c r="I7" s="11"/>
    </row>
    <row r="8" spans="1:9" x14ac:dyDescent="0.2">
      <c r="A8" s="11"/>
      <c r="B8" s="11"/>
      <c r="C8" s="11"/>
      <c r="D8" s="11"/>
      <c r="E8" s="11"/>
      <c r="F8" s="11"/>
      <c r="G8" s="11"/>
      <c r="H8" s="11"/>
      <c r="I8" s="11"/>
    </row>
    <row r="9" spans="1:9" x14ac:dyDescent="0.2">
      <c r="A9" s="11"/>
      <c r="B9" s="11"/>
      <c r="C9" s="11"/>
      <c r="D9" s="11"/>
      <c r="E9" s="11"/>
      <c r="F9" s="11"/>
      <c r="G9" s="11"/>
      <c r="H9" s="11"/>
      <c r="I9" s="11"/>
    </row>
    <row r="10" spans="1:9" x14ac:dyDescent="0.2">
      <c r="A10" s="11"/>
      <c r="B10" s="11"/>
      <c r="C10" s="11"/>
      <c r="D10" s="11"/>
      <c r="E10" s="11"/>
      <c r="F10" s="11"/>
      <c r="G10" s="11"/>
      <c r="H10" s="11"/>
      <c r="I10" s="11"/>
    </row>
    <row r="11" spans="1:9" x14ac:dyDescent="0.2">
      <c r="A11" s="11"/>
      <c r="B11" s="11"/>
      <c r="C11" s="11"/>
      <c r="D11" s="11"/>
      <c r="E11" s="11"/>
      <c r="F11" s="11"/>
      <c r="G11" s="11"/>
      <c r="H11" s="11"/>
      <c r="I11" s="11"/>
    </row>
    <row r="12" spans="1:9" x14ac:dyDescent="0.2">
      <c r="A12" s="11"/>
      <c r="B12" s="11"/>
      <c r="C12" s="11"/>
      <c r="D12" s="11"/>
      <c r="E12" s="11"/>
      <c r="F12" s="11"/>
      <c r="G12" s="11"/>
      <c r="H12" s="11"/>
      <c r="I12" s="11"/>
    </row>
    <row r="13" spans="1:9" x14ac:dyDescent="0.2">
      <c r="A13" s="11"/>
      <c r="B13" s="11"/>
      <c r="C13" s="11"/>
      <c r="D13" s="11"/>
      <c r="E13" s="11"/>
      <c r="F13" s="11"/>
      <c r="G13" s="11"/>
      <c r="H13" s="11"/>
      <c r="I13" s="11"/>
    </row>
    <row r="14" spans="1:9" x14ac:dyDescent="0.2">
      <c r="A14" s="11"/>
      <c r="B14" s="11"/>
      <c r="C14" s="11"/>
      <c r="D14" s="11"/>
      <c r="E14" s="11"/>
      <c r="F14" s="11"/>
      <c r="G14" s="11"/>
      <c r="H14" s="11"/>
      <c r="I14" s="11"/>
    </row>
    <row r="15" spans="1:9" x14ac:dyDescent="0.2">
      <c r="A15" s="11"/>
      <c r="B15" s="11"/>
      <c r="C15" s="11"/>
      <c r="D15" s="11"/>
      <c r="E15" s="11"/>
      <c r="F15" s="11"/>
      <c r="G15" s="11"/>
      <c r="H15" s="11"/>
      <c r="I15" s="11"/>
    </row>
    <row r="16" spans="1:9" x14ac:dyDescent="0.2">
      <c r="A16" s="11"/>
      <c r="B16" s="11"/>
      <c r="C16" s="11"/>
      <c r="D16" s="11"/>
      <c r="E16" s="11"/>
      <c r="F16" s="11"/>
      <c r="G16" s="11"/>
      <c r="H16" s="11"/>
      <c r="I16" s="11"/>
    </row>
    <row r="17" spans="1:9" x14ac:dyDescent="0.2">
      <c r="A17" s="11"/>
      <c r="B17" s="11"/>
      <c r="C17" s="11"/>
      <c r="D17" s="11"/>
      <c r="E17" s="11"/>
      <c r="F17" s="11"/>
      <c r="G17" s="11"/>
      <c r="H17" s="11"/>
      <c r="I17" s="11"/>
    </row>
    <row r="18" spans="1:9" x14ac:dyDescent="0.2">
      <c r="A18" s="11"/>
      <c r="B18" s="11"/>
      <c r="C18" s="11"/>
      <c r="D18" s="11"/>
      <c r="E18" s="11"/>
      <c r="F18" s="11"/>
      <c r="G18" s="11"/>
      <c r="H18" s="11"/>
      <c r="I18" s="11"/>
    </row>
    <row r="19" spans="1:9" x14ac:dyDescent="0.2">
      <c r="A19" s="11"/>
      <c r="B19" s="11"/>
      <c r="C19" s="11"/>
      <c r="D19" s="11"/>
      <c r="E19" s="11"/>
      <c r="F19" s="11"/>
      <c r="G19" s="11"/>
      <c r="H19" s="11"/>
      <c r="I19" s="11"/>
    </row>
    <row r="20" spans="1:9" x14ac:dyDescent="0.2">
      <c r="A20" s="11"/>
      <c r="B20" s="11"/>
      <c r="C20" s="11"/>
      <c r="D20" s="11"/>
      <c r="E20" s="11"/>
      <c r="F20" s="11"/>
      <c r="G20" s="11"/>
      <c r="H20" s="11"/>
      <c r="I20" s="11"/>
    </row>
  </sheetData>
  <mergeCells count="1">
    <mergeCell ref="A1:I20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1E684-5E1F-4E59-AB15-97521FCCB593}">
  <dimension ref="A1:I20"/>
  <sheetViews>
    <sheetView workbookViewId="0">
      <selection activeCell="F28" sqref="F28"/>
    </sheetView>
  </sheetViews>
  <sheetFormatPr baseColWidth="10" defaultColWidth="8.83203125" defaultRowHeight="15" x14ac:dyDescent="0.2"/>
  <sheetData>
    <row r="1" spans="1:9" x14ac:dyDescent="0.2">
      <c r="A1" s="10" t="s">
        <v>13</v>
      </c>
      <c r="B1" s="11"/>
      <c r="C1" s="11"/>
      <c r="D1" s="11"/>
      <c r="E1" s="11"/>
      <c r="F1" s="11"/>
      <c r="G1" s="11"/>
      <c r="H1" s="11"/>
      <c r="I1" s="11"/>
    </row>
    <row r="2" spans="1:9" x14ac:dyDescent="0.2">
      <c r="A2" s="11"/>
      <c r="B2" s="11"/>
      <c r="C2" s="11"/>
      <c r="D2" s="11"/>
      <c r="E2" s="11"/>
      <c r="F2" s="11"/>
      <c r="G2" s="11"/>
      <c r="H2" s="11"/>
      <c r="I2" s="11"/>
    </row>
    <row r="3" spans="1:9" x14ac:dyDescent="0.2">
      <c r="A3" s="11"/>
      <c r="B3" s="11"/>
      <c r="C3" s="11"/>
      <c r="D3" s="11"/>
      <c r="E3" s="11"/>
      <c r="F3" s="11"/>
      <c r="G3" s="11"/>
      <c r="H3" s="11"/>
      <c r="I3" s="11"/>
    </row>
    <row r="4" spans="1:9" x14ac:dyDescent="0.2">
      <c r="A4" s="11"/>
      <c r="B4" s="11"/>
      <c r="C4" s="11"/>
      <c r="D4" s="11"/>
      <c r="E4" s="11"/>
      <c r="F4" s="11"/>
      <c r="G4" s="11"/>
      <c r="H4" s="11"/>
      <c r="I4" s="11"/>
    </row>
    <row r="5" spans="1:9" x14ac:dyDescent="0.2">
      <c r="A5" s="11"/>
      <c r="B5" s="11"/>
      <c r="C5" s="11"/>
      <c r="D5" s="11"/>
      <c r="E5" s="11"/>
      <c r="F5" s="11"/>
      <c r="G5" s="11"/>
      <c r="H5" s="11"/>
      <c r="I5" s="11"/>
    </row>
    <row r="6" spans="1:9" x14ac:dyDescent="0.2">
      <c r="A6" s="11"/>
      <c r="B6" s="11"/>
      <c r="C6" s="11"/>
      <c r="D6" s="11"/>
      <c r="E6" s="11"/>
      <c r="F6" s="11"/>
      <c r="G6" s="11"/>
      <c r="H6" s="11"/>
      <c r="I6" s="11"/>
    </row>
    <row r="7" spans="1:9" x14ac:dyDescent="0.2">
      <c r="A7" s="11"/>
      <c r="B7" s="11"/>
      <c r="C7" s="11"/>
      <c r="D7" s="11"/>
      <c r="E7" s="11"/>
      <c r="F7" s="11"/>
      <c r="G7" s="11"/>
      <c r="H7" s="11"/>
      <c r="I7" s="11"/>
    </row>
    <row r="8" spans="1:9" x14ac:dyDescent="0.2">
      <c r="A8" s="11"/>
      <c r="B8" s="11"/>
      <c r="C8" s="11"/>
      <c r="D8" s="11"/>
      <c r="E8" s="11"/>
      <c r="F8" s="11"/>
      <c r="G8" s="11"/>
      <c r="H8" s="11"/>
      <c r="I8" s="11"/>
    </row>
    <row r="9" spans="1:9" x14ac:dyDescent="0.2">
      <c r="A9" s="11"/>
      <c r="B9" s="11"/>
      <c r="C9" s="11"/>
      <c r="D9" s="11"/>
      <c r="E9" s="11"/>
      <c r="F9" s="11"/>
      <c r="G9" s="11"/>
      <c r="H9" s="11"/>
      <c r="I9" s="11"/>
    </row>
    <row r="10" spans="1:9" x14ac:dyDescent="0.2">
      <c r="A10" s="11"/>
      <c r="B10" s="11"/>
      <c r="C10" s="11"/>
      <c r="D10" s="11"/>
      <c r="E10" s="11"/>
      <c r="F10" s="11"/>
      <c r="G10" s="11"/>
      <c r="H10" s="11"/>
      <c r="I10" s="11"/>
    </row>
    <row r="11" spans="1:9" x14ac:dyDescent="0.2">
      <c r="A11" s="11"/>
      <c r="B11" s="11"/>
      <c r="C11" s="11"/>
      <c r="D11" s="11"/>
      <c r="E11" s="11"/>
      <c r="F11" s="11"/>
      <c r="G11" s="11"/>
      <c r="H11" s="11"/>
      <c r="I11" s="11"/>
    </row>
    <row r="12" spans="1:9" x14ac:dyDescent="0.2">
      <c r="A12" s="11"/>
      <c r="B12" s="11"/>
      <c r="C12" s="11"/>
      <c r="D12" s="11"/>
      <c r="E12" s="11"/>
      <c r="F12" s="11"/>
      <c r="G12" s="11"/>
      <c r="H12" s="11"/>
      <c r="I12" s="11"/>
    </row>
    <row r="13" spans="1:9" x14ac:dyDescent="0.2">
      <c r="A13" s="11"/>
      <c r="B13" s="11"/>
      <c r="C13" s="11"/>
      <c r="D13" s="11"/>
      <c r="E13" s="11"/>
      <c r="F13" s="11"/>
      <c r="G13" s="11"/>
      <c r="H13" s="11"/>
      <c r="I13" s="11"/>
    </row>
    <row r="14" spans="1:9" x14ac:dyDescent="0.2">
      <c r="A14" s="11"/>
      <c r="B14" s="11"/>
      <c r="C14" s="11"/>
      <c r="D14" s="11"/>
      <c r="E14" s="11"/>
      <c r="F14" s="11"/>
      <c r="G14" s="11"/>
      <c r="H14" s="11"/>
      <c r="I14" s="11"/>
    </row>
    <row r="15" spans="1:9" x14ac:dyDescent="0.2">
      <c r="A15" s="11"/>
      <c r="B15" s="11"/>
      <c r="C15" s="11"/>
      <c r="D15" s="11"/>
      <c r="E15" s="11"/>
      <c r="F15" s="11"/>
      <c r="G15" s="11"/>
      <c r="H15" s="11"/>
      <c r="I15" s="11"/>
    </row>
    <row r="16" spans="1:9" x14ac:dyDescent="0.2">
      <c r="A16" s="11"/>
      <c r="B16" s="11"/>
      <c r="C16" s="11"/>
      <c r="D16" s="11"/>
      <c r="E16" s="11"/>
      <c r="F16" s="11"/>
      <c r="G16" s="11"/>
      <c r="H16" s="11"/>
      <c r="I16" s="11"/>
    </row>
    <row r="17" spans="1:9" x14ac:dyDescent="0.2">
      <c r="A17" s="11"/>
      <c r="B17" s="11"/>
      <c r="C17" s="11"/>
      <c r="D17" s="11"/>
      <c r="E17" s="11"/>
      <c r="F17" s="11"/>
      <c r="G17" s="11"/>
      <c r="H17" s="11"/>
      <c r="I17" s="11"/>
    </row>
    <row r="18" spans="1:9" x14ac:dyDescent="0.2">
      <c r="A18" s="11"/>
      <c r="B18" s="11"/>
      <c r="C18" s="11"/>
      <c r="D18" s="11"/>
      <c r="E18" s="11"/>
      <c r="F18" s="11"/>
      <c r="G18" s="11"/>
      <c r="H18" s="11"/>
      <c r="I18" s="11"/>
    </row>
    <row r="19" spans="1:9" x14ac:dyDescent="0.2">
      <c r="A19" s="11"/>
      <c r="B19" s="11"/>
      <c r="C19" s="11"/>
      <c r="D19" s="11"/>
      <c r="E19" s="11"/>
      <c r="F19" s="11"/>
      <c r="G19" s="11"/>
      <c r="H19" s="11"/>
      <c r="I19" s="11"/>
    </row>
    <row r="20" spans="1:9" x14ac:dyDescent="0.2">
      <c r="A20" s="11"/>
      <c r="B20" s="11"/>
      <c r="C20" s="11"/>
      <c r="D20" s="11"/>
      <c r="E20" s="11"/>
      <c r="F20" s="11"/>
      <c r="G20" s="11"/>
      <c r="H20" s="11"/>
      <c r="I20" s="11"/>
    </row>
  </sheetData>
  <mergeCells count="1">
    <mergeCell ref="A1:I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redo_20220617_234</vt:lpstr>
      <vt:lpstr>redo_20220614</vt:lpstr>
      <vt:lpstr>P02</vt:lpstr>
      <vt:lpstr>P03</vt:lpstr>
      <vt:lpstr>P06</vt:lpstr>
      <vt:lpstr>P11</vt:lpstr>
      <vt:lpstr>P15</vt:lpstr>
      <vt:lpstr>P18</vt:lpstr>
      <vt:lpstr>P27</vt:lpstr>
      <vt:lpstr>P30</vt:lpstr>
      <vt:lpstr>P32</vt:lpstr>
      <vt:lpstr>P33</vt:lpstr>
      <vt:lpstr>P36</vt:lpstr>
      <vt:lpstr>P39</vt:lpstr>
      <vt:lpstr>P42</vt:lpstr>
      <vt:lpstr>P44</vt:lpstr>
      <vt:lpstr>P45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Lizzie</dc:creator>
  <cp:lastModifiedBy>Lizzie Paulus</cp:lastModifiedBy>
  <dcterms:created xsi:type="dcterms:W3CDTF">2022-06-09T18:58:20Z</dcterms:created>
  <dcterms:modified xsi:type="dcterms:W3CDTF">2026-02-24T01:12:10Z</dcterms:modified>
</cp:coreProperties>
</file>