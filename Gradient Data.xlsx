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Manuscripts/2025_Paulus/Mn Rainfall Patterns/Geoderma/Data and Components/"/>
    </mc:Choice>
  </mc:AlternateContent>
  <xr:revisionPtr revIDLastSave="0" documentId="13_ncr:1_{47FE46D9-0EA0-804B-BB68-421CC7A535CB}" xr6:coauthVersionLast="47" xr6:coauthVersionMax="47" xr10:uidLastSave="{00000000-0000-0000-0000-000000000000}"/>
  <bookViews>
    <workbookView minimized="1" xWindow="0" yWindow="660" windowWidth="30240" windowHeight="18980" xr2:uid="{432CCAB3-593B-3D46-B5E5-3319956F4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7" i="1"/>
  <c r="V8" i="1"/>
  <c r="V9" i="1"/>
  <c r="V10" i="1"/>
  <c r="V11" i="1"/>
  <c r="V18" i="1"/>
  <c r="V19" i="1"/>
  <c r="V20" i="1"/>
  <c r="V21" i="1"/>
  <c r="V28" i="1"/>
  <c r="V29" i="1"/>
  <c r="V30" i="1"/>
  <c r="V31" i="1"/>
  <c r="V38" i="1"/>
  <c r="V39" i="1"/>
  <c r="V40" i="1"/>
  <c r="V41" i="1"/>
  <c r="U4" i="1"/>
  <c r="U5" i="1"/>
  <c r="U14" i="1"/>
  <c r="U15" i="1"/>
  <c r="U24" i="1"/>
  <c r="U25" i="1"/>
  <c r="U34" i="1"/>
  <c r="U35" i="1"/>
  <c r="U44" i="1"/>
  <c r="U45" i="1"/>
  <c r="T8" i="1"/>
  <c r="T9" i="1"/>
  <c r="T18" i="1"/>
  <c r="T19" i="1"/>
  <c r="T28" i="1"/>
  <c r="T29" i="1"/>
  <c r="T38" i="1"/>
  <c r="T39" i="1"/>
  <c r="S2" i="1"/>
  <c r="U2" i="1" s="1"/>
  <c r="S3" i="1"/>
  <c r="U3" i="1" s="1"/>
  <c r="S4" i="1"/>
  <c r="S5" i="1"/>
  <c r="S6" i="1"/>
  <c r="S7" i="1"/>
  <c r="S8" i="1"/>
  <c r="S9" i="1"/>
  <c r="U9" i="1" s="1"/>
  <c r="S10" i="1"/>
  <c r="T10" i="1" s="1"/>
  <c r="S11" i="1"/>
  <c r="U11" i="1" s="1"/>
  <c r="S12" i="1"/>
  <c r="U12" i="1" s="1"/>
  <c r="S13" i="1"/>
  <c r="U13" i="1" s="1"/>
  <c r="S14" i="1"/>
  <c r="S15" i="1"/>
  <c r="S16" i="1"/>
  <c r="S17" i="1"/>
  <c r="S18" i="1"/>
  <c r="S19" i="1"/>
  <c r="U19" i="1" s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U39" i="1" s="1"/>
  <c r="S40" i="1"/>
  <c r="S41" i="1"/>
  <c r="U41" i="1" s="1"/>
  <c r="S42" i="1"/>
  <c r="S43" i="1"/>
  <c r="U43" i="1" s="1"/>
  <c r="S44" i="1"/>
  <c r="S45" i="1"/>
  <c r="S46" i="1"/>
  <c r="S47" i="1"/>
  <c r="R2" i="1"/>
  <c r="R3" i="1"/>
  <c r="V3" i="1" s="1"/>
  <c r="R4" i="1"/>
  <c r="V4" i="1" s="1"/>
  <c r="R5" i="1"/>
  <c r="T5" i="1" s="1"/>
  <c r="R6" i="1"/>
  <c r="U6" i="1" s="1"/>
  <c r="R7" i="1"/>
  <c r="T7" i="1" s="1"/>
  <c r="R8" i="1"/>
  <c r="U8" i="1" s="1"/>
  <c r="R9" i="1"/>
  <c r="R10" i="1"/>
  <c r="R11" i="1"/>
  <c r="T11" i="1" s="1"/>
  <c r="R12" i="1"/>
  <c r="R13" i="1"/>
  <c r="T13" i="1" s="1"/>
  <c r="R14" i="1"/>
  <c r="T14" i="1" s="1"/>
  <c r="R15" i="1"/>
  <c r="T15" i="1" s="1"/>
  <c r="R16" i="1"/>
  <c r="V16" i="1" s="1"/>
  <c r="R17" i="1"/>
  <c r="V17" i="1" s="1"/>
  <c r="R18" i="1"/>
  <c r="R19" i="1"/>
  <c r="R20" i="1"/>
  <c r="R21" i="1"/>
  <c r="R22" i="1"/>
  <c r="R23" i="1"/>
  <c r="R24" i="1"/>
  <c r="T24" i="1" s="1"/>
  <c r="R25" i="1"/>
  <c r="V25" i="1" s="1"/>
  <c r="R26" i="1"/>
  <c r="T26" i="1" s="1"/>
  <c r="R27" i="1"/>
  <c r="V27" i="1" s="1"/>
  <c r="R28" i="1"/>
  <c r="R29" i="1"/>
  <c r="R30" i="1"/>
  <c r="R31" i="1"/>
  <c r="R32" i="1"/>
  <c r="R33" i="1"/>
  <c r="R34" i="1"/>
  <c r="T34" i="1" s="1"/>
  <c r="R35" i="1"/>
  <c r="T35" i="1" s="1"/>
  <c r="R36" i="1"/>
  <c r="V36" i="1" s="1"/>
  <c r="R37" i="1"/>
  <c r="V37" i="1" s="1"/>
  <c r="R38" i="1"/>
  <c r="R39" i="1"/>
  <c r="R40" i="1"/>
  <c r="R41" i="1"/>
  <c r="T41" i="1" s="1"/>
  <c r="R42" i="1"/>
  <c r="R43" i="1"/>
  <c r="V43" i="1" s="1"/>
  <c r="R44" i="1"/>
  <c r="R45" i="1"/>
  <c r="T45" i="1" s="1"/>
  <c r="R46" i="1"/>
  <c r="R47" i="1"/>
  <c r="V47" i="1" s="1"/>
  <c r="Q2" i="1"/>
  <c r="T2" i="1" s="1"/>
  <c r="Q12" i="1"/>
  <c r="T12" i="1" s="1"/>
  <c r="Q14" i="1"/>
  <c r="V14" i="1" s="1"/>
  <c r="Q16" i="1"/>
  <c r="U16" i="1" s="1"/>
  <c r="Q17" i="1"/>
  <c r="U17" i="1" s="1"/>
  <c r="Q18" i="1"/>
  <c r="U18" i="1" s="1"/>
  <c r="Q20" i="1"/>
  <c r="U20" i="1" s="1"/>
  <c r="Q21" i="1"/>
  <c r="U21" i="1" s="1"/>
  <c r="Q22" i="1"/>
  <c r="T22" i="1" s="1"/>
  <c r="Q23" i="1"/>
  <c r="U23" i="1" s="1"/>
  <c r="Q24" i="1"/>
  <c r="V24" i="1" s="1"/>
  <c r="Q25" i="1"/>
  <c r="Q26" i="1"/>
  <c r="U26" i="1" s="1"/>
  <c r="Q27" i="1"/>
  <c r="U27" i="1" s="1"/>
  <c r="Q28" i="1"/>
  <c r="U28" i="1" s="1"/>
  <c r="Q29" i="1"/>
  <c r="U29" i="1" s="1"/>
  <c r="Q30" i="1"/>
  <c r="T30" i="1" s="1"/>
  <c r="Q31" i="1"/>
  <c r="U31" i="1" s="1"/>
  <c r="Q32" i="1"/>
  <c r="T32" i="1" s="1"/>
  <c r="Q33" i="1"/>
  <c r="T33" i="1" s="1"/>
  <c r="Q34" i="1"/>
  <c r="V34" i="1" s="1"/>
  <c r="Q35" i="1"/>
  <c r="Q36" i="1"/>
  <c r="U36" i="1" s="1"/>
  <c r="Q37" i="1"/>
  <c r="U37" i="1" s="1"/>
  <c r="Q38" i="1"/>
  <c r="U38" i="1" s="1"/>
  <c r="Q40" i="1"/>
  <c r="U40" i="1" s="1"/>
  <c r="Q42" i="1"/>
  <c r="T42" i="1" s="1"/>
  <c r="Q44" i="1"/>
  <c r="V44" i="1" s="1"/>
  <c r="Q46" i="1"/>
  <c r="V46" i="1" s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T37" i="1" l="1"/>
  <c r="T46" i="1"/>
  <c r="T16" i="1"/>
  <c r="U32" i="1"/>
  <c r="T25" i="1"/>
  <c r="T44" i="1"/>
  <c r="U30" i="1"/>
  <c r="U10" i="1"/>
  <c r="V26" i="1"/>
  <c r="T43" i="1"/>
  <c r="T23" i="1"/>
  <c r="T3" i="1"/>
  <c r="V45" i="1"/>
  <c r="W45" i="1" s="1"/>
  <c r="V35" i="1"/>
  <c r="V15" i="1"/>
  <c r="T31" i="1"/>
  <c r="T21" i="1"/>
  <c r="U47" i="1"/>
  <c r="W47" i="1" s="1"/>
  <c r="U7" i="1"/>
  <c r="V33" i="1"/>
  <c r="V23" i="1"/>
  <c r="V13" i="1"/>
  <c r="T27" i="1"/>
  <c r="T36" i="1"/>
  <c r="T6" i="1"/>
  <c r="T4" i="1"/>
  <c r="T40" i="1"/>
  <c r="T20" i="1"/>
  <c r="U46" i="1"/>
  <c r="V42" i="1"/>
  <c r="V32" i="1"/>
  <c r="V22" i="1"/>
  <c r="V12" i="1"/>
  <c r="W12" i="1" s="1"/>
  <c r="V2" i="1"/>
  <c r="W2" i="1" s="1"/>
  <c r="T47" i="1"/>
  <c r="T17" i="1"/>
  <c r="U33" i="1"/>
  <c r="W33" i="1" s="1"/>
  <c r="U42" i="1"/>
  <c r="U22" i="1"/>
  <c r="W22" i="1" s="1"/>
  <c r="W37" i="1"/>
  <c r="W32" i="1"/>
  <c r="W8" i="1"/>
  <c r="W18" i="1"/>
  <c r="W11" i="1"/>
  <c r="W21" i="1"/>
  <c r="W31" i="1"/>
  <c r="W9" i="1"/>
  <c r="W38" i="1"/>
  <c r="W43" i="1"/>
  <c r="W13" i="1"/>
  <c r="W23" i="1"/>
  <c r="W24" i="1"/>
  <c r="W34" i="1"/>
  <c r="W4" i="1"/>
  <c r="W14" i="1"/>
  <c r="W27" i="1"/>
  <c r="W28" i="1"/>
  <c r="W6" i="1"/>
  <c r="W29" i="1"/>
  <c r="W39" i="1"/>
  <c r="W25" i="1"/>
  <c r="W3" i="1"/>
  <c r="W26" i="1"/>
  <c r="W36" i="1"/>
  <c r="W46" i="1"/>
  <c r="W7" i="1"/>
  <c r="W20" i="1"/>
  <c r="W10" i="1"/>
  <c r="W35" i="1"/>
  <c r="W17" i="1"/>
  <c r="W42" i="1"/>
  <c r="W15" i="1"/>
  <c r="W40" i="1"/>
  <c r="W5" i="1"/>
  <c r="W30" i="1"/>
  <c r="W16" i="1"/>
  <c r="W19" i="1"/>
  <c r="W41" i="1"/>
  <c r="W44" i="1"/>
</calcChain>
</file>

<file path=xl/sharedStrings.xml><?xml version="1.0" encoding="utf-8"?>
<sst xmlns="http://schemas.openxmlformats.org/spreadsheetml/2006/main" count="152" uniqueCount="80">
  <si>
    <t>Avg pH</t>
  </si>
  <si>
    <t>SD</t>
  </si>
  <si>
    <t>Count</t>
  </si>
  <si>
    <t>SEM</t>
  </si>
  <si>
    <t>SEM upper</t>
  </si>
  <si>
    <t>SEM lower</t>
  </si>
  <si>
    <t>MAP (mm)</t>
  </si>
  <si>
    <t>Site</t>
  </si>
  <si>
    <t>MAP</t>
  </si>
  <si>
    <t>Concentration = ug element/g soil (ppm)</t>
  </si>
  <si>
    <t>Sample ID</t>
  </si>
  <si>
    <t>MAP (mm/yr)</t>
  </si>
  <si>
    <t>Avg Mn</t>
  </si>
  <si>
    <t>Mn SD</t>
  </si>
  <si>
    <t>upper SEM</t>
  </si>
  <si>
    <t>lower SEM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</si>
  <si>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</si>
  <si>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</si>
  <si>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</si>
  <si>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</si>
  <si>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</si>
  <si>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</si>
  <si>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</si>
  <si>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</si>
  <si>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</si>
  <si>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</si>
  <si>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</si>
  <si>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</si>
  <si>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</si>
  <si>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</si>
  <si>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</si>
  <si>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</si>
  <si>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</si>
  <si>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</si>
  <si>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</si>
  <si>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</si>
  <si>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</si>
  <si>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</si>
  <si>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</si>
  <si>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</si>
  <si>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</si>
  <si>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</si>
  <si>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</si>
  <si>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</si>
  <si>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</si>
  <si>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</si>
  <si>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</si>
  <si>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</si>
  <si>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</si>
  <si>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</si>
  <si>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</si>
  <si>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</si>
  <si>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</si>
  <si>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</si>
  <si>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</si>
  <si>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</si>
  <si>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</si>
  <si>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</si>
  <si>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</si>
  <si>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</si>
  <si>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</si>
  <si>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</si>
  <si>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Averaged Water-extractable Mn (µg g-1 dried soil)</t>
  </si>
  <si>
    <t>NaPP-DIW Avg (ug/g soil)</t>
  </si>
  <si>
    <t>Puanui Site</t>
  </si>
  <si>
    <t>Avg Grass Mn µg/g</t>
  </si>
  <si>
    <t>Avg Soil Mn µg/g</t>
  </si>
  <si>
    <t>Column1</t>
  </si>
  <si>
    <t>Column2</t>
  </si>
  <si>
    <t>2018 GWC</t>
  </si>
  <si>
    <t>2019 GWC</t>
  </si>
  <si>
    <t>Avg 2021 GWC</t>
  </si>
  <si>
    <t>Overall Avg GWC</t>
  </si>
  <si>
    <t>GWC =</t>
  </si>
  <si>
    <t>wet weight (g) - dry weight (g)</t>
  </si>
  <si>
    <t>dry weight (g)</t>
  </si>
  <si>
    <t>2018 GWC (%)</t>
  </si>
  <si>
    <t>2019 GWC (%)</t>
  </si>
  <si>
    <t>Avg 2021 GWC (%)</t>
  </si>
  <si>
    <t>Overall Avg GWC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</si>
</sst>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1" fontId="2" fillId="2" borderId="0" xfId="0" applyNumberFormat="1" applyFont="1" applyFill="1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2" fontId="0" fillId="0" borderId="0" xfId="0" applyNumberFormat="1"/>
    <xf numFmtId="0" fontId="3" fillId="0" borderId="0" xfId="0" applyFont="1"/>
    <xf numFmtId="1" fontId="3" fillId="0" borderId="0" xfId="0" applyNumberFormat="1" applyFont="1"/>
    <xf numFmtId="2" fontId="4" fillId="0" borderId="0" xfId="0" applyNumberFormat="1" applyFont="1"/>
    <xf numFmtId="16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numFmt numFmtId="1" formatCode="0"/>
    </dxf>
  </dxfs>
  <tableStyles count="0" defaultTableStyle="TableStyleMedium2" defaultPivotStyle="PivotStyleLight16"/>
  <colors>
    <mruColors>
      <color rgb="FF65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65D4FF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Sheet1!$D$2:$D$47</c:f>
                <c:numCache>
                  <c:formatCode>General</c:formatCode>
                  <c:ptCount val="46"/>
                  <c:pt idx="0">
                    <c:v>5.9421099999999998E-2</c:v>
                  </c:pt>
                  <c:pt idx="1">
                    <c:v>4.6080999999999997E-2</c:v>
                  </c:pt>
                  <c:pt idx="2">
                    <c:v>5.3344900000000001E-2</c:v>
                  </c:pt>
                  <c:pt idx="3">
                    <c:v>1.49071E-2</c:v>
                  </c:pt>
                  <c:pt idx="4">
                    <c:v>5.2115700000000001E-2</c:v>
                  </c:pt>
                  <c:pt idx="5">
                    <c:v>0.1104424</c:v>
                  </c:pt>
                  <c:pt idx="6">
                    <c:v>5.6710200000000002E-2</c:v>
                  </c:pt>
                  <c:pt idx="7">
                    <c:v>9.2462900000000001E-2</c:v>
                  </c:pt>
                  <c:pt idx="8">
                    <c:v>0.14107169999999999</c:v>
                  </c:pt>
                  <c:pt idx="9">
                    <c:v>9.6864400000000003E-2</c:v>
                  </c:pt>
                  <c:pt idx="10">
                    <c:v>3.0631200000000001E-2</c:v>
                  </c:pt>
                  <c:pt idx="11">
                    <c:v>0.15188119999999999</c:v>
                  </c:pt>
                  <c:pt idx="12">
                    <c:v>3.0550500000000001E-2</c:v>
                  </c:pt>
                  <c:pt idx="13">
                    <c:v>4.27453E-2</c:v>
                  </c:pt>
                  <c:pt idx="14">
                    <c:v>1.42725E-2</c:v>
                  </c:pt>
                  <c:pt idx="15">
                    <c:v>0.1347151</c:v>
                  </c:pt>
                  <c:pt idx="16">
                    <c:v>4.8240699999999997E-2</c:v>
                  </c:pt>
                  <c:pt idx="17">
                    <c:v>6.0246399999999999E-2</c:v>
                  </c:pt>
                  <c:pt idx="18">
                    <c:v>9.8004800000000003E-2</c:v>
                  </c:pt>
                  <c:pt idx="19">
                    <c:v>4.33903E-2</c:v>
                  </c:pt>
                  <c:pt idx="20">
                    <c:v>1.6480399999999999E-2</c:v>
                  </c:pt>
                  <c:pt idx="21">
                    <c:v>5.4884799999999997E-2</c:v>
                  </c:pt>
                  <c:pt idx="22">
                    <c:v>0.1200823</c:v>
                  </c:pt>
                  <c:pt idx="23">
                    <c:v>0.16412879999999999</c:v>
                  </c:pt>
                  <c:pt idx="24">
                    <c:v>3.6175199999999998E-2</c:v>
                  </c:pt>
                  <c:pt idx="25">
                    <c:v>0.14265990000000001</c:v>
                  </c:pt>
                  <c:pt idx="26">
                    <c:v>0.19900989999999999</c:v>
                  </c:pt>
                  <c:pt idx="27">
                    <c:v>0.1030702</c:v>
                  </c:pt>
                  <c:pt idx="28">
                    <c:v>1.8087599999999999E-2</c:v>
                  </c:pt>
                  <c:pt idx="29">
                    <c:v>7.6335799999999995E-2</c:v>
                  </c:pt>
                  <c:pt idx="30">
                    <c:v>0.14956729999999999</c:v>
                  </c:pt>
                  <c:pt idx="31">
                    <c:v>8.1989199999999998E-2</c:v>
                  </c:pt>
                  <c:pt idx="32">
                    <c:v>2.8545000000000001E-2</c:v>
                  </c:pt>
                  <c:pt idx="33">
                    <c:v>5.7359599999999997E-2</c:v>
                  </c:pt>
                  <c:pt idx="34">
                    <c:v>1.8087599999999999E-2</c:v>
                  </c:pt>
                  <c:pt idx="35">
                    <c:v>1.5908700000000001E-2</c:v>
                  </c:pt>
                  <c:pt idx="36">
                    <c:v>9.4933400000000001E-2</c:v>
                  </c:pt>
                  <c:pt idx="37">
                    <c:v>0.19391990000000001</c:v>
                  </c:pt>
                  <c:pt idx="38">
                    <c:v>0.14742649999999999</c:v>
                  </c:pt>
                  <c:pt idx="39">
                    <c:v>6.5968600000000002E-2</c:v>
                  </c:pt>
                  <c:pt idx="40">
                    <c:v>3.1817400000000003E-2</c:v>
                  </c:pt>
                  <c:pt idx="41">
                    <c:v>5.6218299999999999E-2</c:v>
                  </c:pt>
                  <c:pt idx="42">
                    <c:v>5.7089899999999999E-2</c:v>
                  </c:pt>
                  <c:pt idx="43">
                    <c:v>7.7180200000000004E-2</c:v>
                  </c:pt>
                  <c:pt idx="44">
                    <c:v>0.15746840000000001</c:v>
                  </c:pt>
                  <c:pt idx="45">
                    <c:v>3.4156499999999999E-2</c:v>
                  </c:pt>
                </c:numCache>
              </c:numRef>
            </c:plus>
            <c:minus>
              <c:numRef>
                <c:f>Sheet1!$D$2:$D$47</c:f>
                <c:numCache>
                  <c:formatCode>General</c:formatCode>
                  <c:ptCount val="46"/>
                  <c:pt idx="0">
                    <c:v>5.9421099999999998E-2</c:v>
                  </c:pt>
                  <c:pt idx="1">
                    <c:v>4.6080999999999997E-2</c:v>
                  </c:pt>
                  <c:pt idx="2">
                    <c:v>5.3344900000000001E-2</c:v>
                  </c:pt>
                  <c:pt idx="3">
                    <c:v>1.49071E-2</c:v>
                  </c:pt>
                  <c:pt idx="4">
                    <c:v>5.2115700000000001E-2</c:v>
                  </c:pt>
                  <c:pt idx="5">
                    <c:v>0.1104424</c:v>
                  </c:pt>
                  <c:pt idx="6">
                    <c:v>5.6710200000000002E-2</c:v>
                  </c:pt>
                  <c:pt idx="7">
                    <c:v>9.2462900000000001E-2</c:v>
                  </c:pt>
                  <c:pt idx="8">
                    <c:v>0.14107169999999999</c:v>
                  </c:pt>
                  <c:pt idx="9">
                    <c:v>9.6864400000000003E-2</c:v>
                  </c:pt>
                  <c:pt idx="10">
                    <c:v>3.0631200000000001E-2</c:v>
                  </c:pt>
                  <c:pt idx="11">
                    <c:v>0.15188119999999999</c:v>
                  </c:pt>
                  <c:pt idx="12">
                    <c:v>3.0550500000000001E-2</c:v>
                  </c:pt>
                  <c:pt idx="13">
                    <c:v>4.27453E-2</c:v>
                  </c:pt>
                  <c:pt idx="14">
                    <c:v>1.42725E-2</c:v>
                  </c:pt>
                  <c:pt idx="15">
                    <c:v>0.1347151</c:v>
                  </c:pt>
                  <c:pt idx="16">
                    <c:v>4.8240699999999997E-2</c:v>
                  </c:pt>
                  <c:pt idx="17">
                    <c:v>6.0246399999999999E-2</c:v>
                  </c:pt>
                  <c:pt idx="18">
                    <c:v>9.8004800000000003E-2</c:v>
                  </c:pt>
                  <c:pt idx="19">
                    <c:v>4.33903E-2</c:v>
                  </c:pt>
                  <c:pt idx="20">
                    <c:v>1.6480399999999999E-2</c:v>
                  </c:pt>
                  <c:pt idx="21">
                    <c:v>5.4884799999999997E-2</c:v>
                  </c:pt>
                  <c:pt idx="22">
                    <c:v>0.1200823</c:v>
                  </c:pt>
                  <c:pt idx="23">
                    <c:v>0.16412879999999999</c:v>
                  </c:pt>
                  <c:pt idx="24">
                    <c:v>3.6175199999999998E-2</c:v>
                  </c:pt>
                  <c:pt idx="25">
                    <c:v>0.14265990000000001</c:v>
                  </c:pt>
                  <c:pt idx="26">
                    <c:v>0.19900989999999999</c:v>
                  </c:pt>
                  <c:pt idx="27">
                    <c:v>0.1030702</c:v>
                  </c:pt>
                  <c:pt idx="28">
                    <c:v>1.8087599999999999E-2</c:v>
                  </c:pt>
                  <c:pt idx="29">
                    <c:v>7.6335799999999995E-2</c:v>
                  </c:pt>
                  <c:pt idx="30">
                    <c:v>0.14956729999999999</c:v>
                  </c:pt>
                  <c:pt idx="31">
                    <c:v>8.1989199999999998E-2</c:v>
                  </c:pt>
                  <c:pt idx="32">
                    <c:v>2.8545000000000001E-2</c:v>
                  </c:pt>
                  <c:pt idx="33">
                    <c:v>5.7359599999999997E-2</c:v>
                  </c:pt>
                  <c:pt idx="34">
                    <c:v>1.8087599999999999E-2</c:v>
                  </c:pt>
                  <c:pt idx="35">
                    <c:v>1.5908700000000001E-2</c:v>
                  </c:pt>
                  <c:pt idx="36">
                    <c:v>9.4933400000000001E-2</c:v>
                  </c:pt>
                  <c:pt idx="37">
                    <c:v>0.19391990000000001</c:v>
                  </c:pt>
                  <c:pt idx="38">
                    <c:v>0.14742649999999999</c:v>
                  </c:pt>
                  <c:pt idx="39">
                    <c:v>6.5968600000000002E-2</c:v>
                  </c:pt>
                  <c:pt idx="40">
                    <c:v>3.1817400000000003E-2</c:v>
                  </c:pt>
                  <c:pt idx="41">
                    <c:v>5.6218299999999999E-2</c:v>
                  </c:pt>
                  <c:pt idx="42">
                    <c:v>5.7089899999999999E-2</c:v>
                  </c:pt>
                  <c:pt idx="43">
                    <c:v>7.7180200000000004E-2</c:v>
                  </c:pt>
                  <c:pt idx="44">
                    <c:v>0.15746840000000001</c:v>
                  </c:pt>
                  <c:pt idx="45">
                    <c:v>3.4156499999999999E-2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Sheet1!$G$2:$G$47</c:f>
              <c:numCache>
                <c:formatCode>0</c:formatCode>
                <c:ptCount val="46"/>
                <c:pt idx="0">
                  <c:v>295</c:v>
                </c:pt>
                <c:pt idx="1">
                  <c:v>285</c:v>
                </c:pt>
                <c:pt idx="2">
                  <c:v>304</c:v>
                </c:pt>
                <c:pt idx="3">
                  <c:v>316</c:v>
                </c:pt>
                <c:pt idx="4">
                  <c:v>343</c:v>
                </c:pt>
                <c:pt idx="5">
                  <c:v>378</c:v>
                </c:pt>
                <c:pt idx="6">
                  <c:v>396</c:v>
                </c:pt>
                <c:pt idx="7">
                  <c:v>437</c:v>
                </c:pt>
                <c:pt idx="8">
                  <c:v>459</c:v>
                </c:pt>
                <c:pt idx="9">
                  <c:v>507</c:v>
                </c:pt>
                <c:pt idx="10">
                  <c:v>822</c:v>
                </c:pt>
                <c:pt idx="11">
                  <c:v>888</c:v>
                </c:pt>
                <c:pt idx="12">
                  <c:v>916</c:v>
                </c:pt>
                <c:pt idx="13">
                  <c:v>954</c:v>
                </c:pt>
                <c:pt idx="14">
                  <c:v>996</c:v>
                </c:pt>
                <c:pt idx="15">
                  <c:v>822</c:v>
                </c:pt>
                <c:pt idx="16">
                  <c:v>888</c:v>
                </c:pt>
                <c:pt idx="17">
                  <c:v>916</c:v>
                </c:pt>
                <c:pt idx="18">
                  <c:v>954</c:v>
                </c:pt>
                <c:pt idx="19">
                  <c:v>996</c:v>
                </c:pt>
                <c:pt idx="20">
                  <c:v>1113</c:v>
                </c:pt>
                <c:pt idx="21">
                  <c:v>1159</c:v>
                </c:pt>
                <c:pt idx="22">
                  <c:v>1207</c:v>
                </c:pt>
                <c:pt idx="23">
                  <c:v>1289</c:v>
                </c:pt>
                <c:pt idx="24">
                  <c:v>1340</c:v>
                </c:pt>
                <c:pt idx="25">
                  <c:v>1442</c:v>
                </c:pt>
                <c:pt idx="26">
                  <c:v>1527</c:v>
                </c:pt>
                <c:pt idx="27">
                  <c:v>1578</c:v>
                </c:pt>
                <c:pt idx="28">
                  <c:v>1711</c:v>
                </c:pt>
                <c:pt idx="29">
                  <c:v>1759</c:v>
                </c:pt>
                <c:pt idx="30">
                  <c:v>1808</c:v>
                </c:pt>
                <c:pt idx="31">
                  <c:v>1903</c:v>
                </c:pt>
                <c:pt idx="32">
                  <c:v>2035</c:v>
                </c:pt>
                <c:pt idx="33">
                  <c:v>2122</c:v>
                </c:pt>
                <c:pt idx="34">
                  <c:v>2163</c:v>
                </c:pt>
                <c:pt idx="35">
                  <c:v>2176</c:v>
                </c:pt>
                <c:pt idx="36">
                  <c:v>2238</c:v>
                </c:pt>
                <c:pt idx="37">
                  <c:v>2310</c:v>
                </c:pt>
                <c:pt idx="38">
                  <c:v>2429</c:v>
                </c:pt>
                <c:pt idx="39">
                  <c:v>2585</c:v>
                </c:pt>
                <c:pt idx="40">
                  <c:v>2686</c:v>
                </c:pt>
                <c:pt idx="41">
                  <c:v>2818</c:v>
                </c:pt>
                <c:pt idx="42">
                  <c:v>2916</c:v>
                </c:pt>
                <c:pt idx="43">
                  <c:v>3018</c:v>
                </c:pt>
                <c:pt idx="44">
                  <c:v>3123</c:v>
                </c:pt>
                <c:pt idx="45">
                  <c:v>3238</c:v>
                </c:pt>
              </c:numCache>
            </c:numRef>
          </c:xVal>
          <c:yVal>
            <c:numRef>
              <c:f>Sheet1!$A$2:$A$47</c:f>
              <c:numCache>
                <c:formatCode>General</c:formatCode>
                <c:ptCount val="46"/>
                <c:pt idx="0">
                  <c:v>6.3888889000000004</c:v>
                </c:pt>
                <c:pt idx="1">
                  <c:v>6.3777777999999996</c:v>
                </c:pt>
                <c:pt idx="2">
                  <c:v>6.1388889000000004</c:v>
                </c:pt>
                <c:pt idx="3">
                  <c:v>6.4</c:v>
                </c:pt>
                <c:pt idx="4">
                  <c:v>6.5777777999999998</c:v>
                </c:pt>
                <c:pt idx="5">
                  <c:v>6.3888889000000004</c:v>
                </c:pt>
                <c:pt idx="6">
                  <c:v>5.9944443999999999</c:v>
                </c:pt>
                <c:pt idx="7">
                  <c:v>6.3055555999999999</c:v>
                </c:pt>
                <c:pt idx="8">
                  <c:v>6.3222221999999997</c:v>
                </c:pt>
                <c:pt idx="9">
                  <c:v>6.0222221999999999</c:v>
                </c:pt>
                <c:pt idx="10">
                  <c:v>6.4555556000000003</c:v>
                </c:pt>
                <c:pt idx="11">
                  <c:v>6.6388889000000004</c:v>
                </c:pt>
                <c:pt idx="12">
                  <c:v>6.0933333000000003</c:v>
                </c:pt>
                <c:pt idx="13">
                  <c:v>6.0888888999999997</c:v>
                </c:pt>
                <c:pt idx="14">
                  <c:v>6.1833333000000001</c:v>
                </c:pt>
                <c:pt idx="15">
                  <c:v>5.9666667000000002</c:v>
                </c:pt>
                <c:pt idx="16">
                  <c:v>5.8388888999999997</c:v>
                </c:pt>
                <c:pt idx="17">
                  <c:v>6.1666667000000004</c:v>
                </c:pt>
                <c:pt idx="18">
                  <c:v>6.2555556000000001</c:v>
                </c:pt>
                <c:pt idx="19">
                  <c:v>6.0388888999999999</c:v>
                </c:pt>
                <c:pt idx="20">
                  <c:v>6.0555555999999999</c:v>
                </c:pt>
                <c:pt idx="21">
                  <c:v>6.2555556000000001</c:v>
                </c:pt>
                <c:pt idx="22">
                  <c:v>5.6777778000000003</c:v>
                </c:pt>
                <c:pt idx="23">
                  <c:v>5.8444444000000004</c:v>
                </c:pt>
                <c:pt idx="24">
                  <c:v>5.7444443999999999</c:v>
                </c:pt>
                <c:pt idx="25">
                  <c:v>5.3833333000000003</c:v>
                </c:pt>
                <c:pt idx="26">
                  <c:v>5.5777777999999998</c:v>
                </c:pt>
                <c:pt idx="27">
                  <c:v>5.3277777999999998</c:v>
                </c:pt>
                <c:pt idx="28">
                  <c:v>5.3277777999999998</c:v>
                </c:pt>
                <c:pt idx="29">
                  <c:v>5.1111110999999996</c:v>
                </c:pt>
                <c:pt idx="30">
                  <c:v>5.4</c:v>
                </c:pt>
                <c:pt idx="31">
                  <c:v>5.1166666999999997</c:v>
                </c:pt>
                <c:pt idx="32">
                  <c:v>5.0333332999999998</c:v>
                </c:pt>
                <c:pt idx="33">
                  <c:v>4.5055556000000001</c:v>
                </c:pt>
                <c:pt idx="34">
                  <c:v>4.4722222</c:v>
                </c:pt>
                <c:pt idx="35">
                  <c:v>4.4722222</c:v>
                </c:pt>
                <c:pt idx="36">
                  <c:v>4.4111111000000003</c:v>
                </c:pt>
                <c:pt idx="37">
                  <c:v>4.5555555999999999</c:v>
                </c:pt>
                <c:pt idx="38">
                  <c:v>4.7277778000000001</c:v>
                </c:pt>
                <c:pt idx="39">
                  <c:v>4.5833332999999996</c:v>
                </c:pt>
                <c:pt idx="40">
                  <c:v>4.4222222000000002</c:v>
                </c:pt>
                <c:pt idx="41">
                  <c:v>4.2444443999999999</c:v>
                </c:pt>
                <c:pt idx="42">
                  <c:v>4.1333333000000003</c:v>
                </c:pt>
                <c:pt idx="43">
                  <c:v>4.0611110999999998</c:v>
                </c:pt>
                <c:pt idx="44">
                  <c:v>4.5166667</c:v>
                </c:pt>
                <c:pt idx="45">
                  <c:v>4.1500000000000004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0-9A46-9CDD-83EF3759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029871"/>
        <c:axId val="517812223"/>
      </c:scatterChart>
      <c:scatterChart>
        <c:scatterStyle val="lineMarker"/>
        <c:varyColors val="0"/>
        <c:ser>
          <c:idx val="1"/>
          <c:order val="1"/>
          <c:tx>
            <c:v>GWC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Sheet1!$W$2:$W$47</c:f>
                <c:numCache>
                  <c:formatCode>General</c:formatCode>
                  <c:ptCount val="46"/>
                  <c:pt idx="0">
                    <c:v>2.918929303620565</c:v>
                  </c:pt>
                  <c:pt idx="1">
                    <c:v>3.4277522771186386</c:v>
                  </c:pt>
                  <c:pt idx="2">
                    <c:v>5.623869445631418</c:v>
                  </c:pt>
                  <c:pt idx="3">
                    <c:v>4.5141749924317152</c:v>
                  </c:pt>
                  <c:pt idx="4">
                    <c:v>6.6877165030796029</c:v>
                  </c:pt>
                  <c:pt idx="5">
                    <c:v>3.5572931285731215</c:v>
                  </c:pt>
                  <c:pt idx="6">
                    <c:v>4.9012466855200021</c:v>
                  </c:pt>
                  <c:pt idx="7">
                    <c:v>5.3429960719792282</c:v>
                  </c:pt>
                  <c:pt idx="8">
                    <c:v>1.2651106239905603</c:v>
                  </c:pt>
                  <c:pt idx="9">
                    <c:v>12.246086544162408</c:v>
                  </c:pt>
                  <c:pt idx="10">
                    <c:v>2.9099210650826888</c:v>
                  </c:pt>
                  <c:pt idx="11">
                    <c:v>4.0359410963766633</c:v>
                  </c:pt>
                  <c:pt idx="12">
                    <c:v>2.9244584149856339</c:v>
                  </c:pt>
                  <c:pt idx="13">
                    <c:v>8.6490520238212287</c:v>
                  </c:pt>
                  <c:pt idx="14">
                    <c:v>3.6504837939045438</c:v>
                  </c:pt>
                  <c:pt idx="15">
                    <c:v>5.4220890953064496</c:v>
                  </c:pt>
                  <c:pt idx="16">
                    <c:v>1.9155899417051605</c:v>
                  </c:pt>
                  <c:pt idx="17">
                    <c:v>3.5456274109270542</c:v>
                  </c:pt>
                  <c:pt idx="18">
                    <c:v>2.5414787168569384</c:v>
                  </c:pt>
                  <c:pt idx="19">
                    <c:v>3.6211047948734421</c:v>
                  </c:pt>
                  <c:pt idx="20">
                    <c:v>1.615720759529687</c:v>
                  </c:pt>
                  <c:pt idx="21">
                    <c:v>1.8126828601485552</c:v>
                  </c:pt>
                  <c:pt idx="22">
                    <c:v>9.3041538371059502</c:v>
                  </c:pt>
                  <c:pt idx="23">
                    <c:v>2.8586647760596198</c:v>
                  </c:pt>
                  <c:pt idx="24">
                    <c:v>3.1835349863980444</c:v>
                  </c:pt>
                  <c:pt idx="25">
                    <c:v>6.6502887657487664</c:v>
                  </c:pt>
                  <c:pt idx="26">
                    <c:v>10.355828313990274</c:v>
                  </c:pt>
                  <c:pt idx="27">
                    <c:v>13.84267754219341</c:v>
                  </c:pt>
                  <c:pt idx="28">
                    <c:v>22.13362001989838</c:v>
                  </c:pt>
                  <c:pt idx="29">
                    <c:v>20.219196735882452</c:v>
                  </c:pt>
                  <c:pt idx="30">
                    <c:v>21.815913562374099</c:v>
                  </c:pt>
                  <c:pt idx="31">
                    <c:v>10.687843505300117</c:v>
                  </c:pt>
                  <c:pt idx="32">
                    <c:v>10.196035901764946</c:v>
                  </c:pt>
                  <c:pt idx="33">
                    <c:v>10.842058591158894</c:v>
                  </c:pt>
                  <c:pt idx="34">
                    <c:v>14.163054105257665</c:v>
                  </c:pt>
                  <c:pt idx="35">
                    <c:v>27.453241406694666</c:v>
                  </c:pt>
                  <c:pt idx="36">
                    <c:v>10.34533143939449</c:v>
                  </c:pt>
                  <c:pt idx="37">
                    <c:v>11.110214016895513</c:v>
                  </c:pt>
                  <c:pt idx="38">
                    <c:v>29.839354181022131</c:v>
                  </c:pt>
                  <c:pt idx="39">
                    <c:v>12.661504448262161</c:v>
                  </c:pt>
                  <c:pt idx="40">
                    <c:v>14.070614663775343</c:v>
                  </c:pt>
                  <c:pt idx="41">
                    <c:v>5.930535134400067</c:v>
                  </c:pt>
                  <c:pt idx="42">
                    <c:v>65.412916120314321</c:v>
                  </c:pt>
                  <c:pt idx="43">
                    <c:v>15.771388416483342</c:v>
                  </c:pt>
                  <c:pt idx="44">
                    <c:v>58.521576537752409</c:v>
                  </c:pt>
                  <c:pt idx="45">
                    <c:v>6.4307029553167325</c:v>
                  </c:pt>
                </c:numCache>
              </c:numRef>
            </c:plus>
            <c:minus>
              <c:numRef>
                <c:f>Sheet1!$W$2:$W$47</c:f>
                <c:numCache>
                  <c:formatCode>General</c:formatCode>
                  <c:ptCount val="46"/>
                  <c:pt idx="0">
                    <c:v>2.918929303620565</c:v>
                  </c:pt>
                  <c:pt idx="1">
                    <c:v>3.4277522771186386</c:v>
                  </c:pt>
                  <c:pt idx="2">
                    <c:v>5.623869445631418</c:v>
                  </c:pt>
                  <c:pt idx="3">
                    <c:v>4.5141749924317152</c:v>
                  </c:pt>
                  <c:pt idx="4">
                    <c:v>6.6877165030796029</c:v>
                  </c:pt>
                  <c:pt idx="5">
                    <c:v>3.5572931285731215</c:v>
                  </c:pt>
                  <c:pt idx="6">
                    <c:v>4.9012466855200021</c:v>
                  </c:pt>
                  <c:pt idx="7">
                    <c:v>5.3429960719792282</c:v>
                  </c:pt>
                  <c:pt idx="8">
                    <c:v>1.2651106239905603</c:v>
                  </c:pt>
                  <c:pt idx="9">
                    <c:v>12.246086544162408</c:v>
                  </c:pt>
                  <c:pt idx="10">
                    <c:v>2.9099210650826888</c:v>
                  </c:pt>
                  <c:pt idx="11">
                    <c:v>4.0359410963766633</c:v>
                  </c:pt>
                  <c:pt idx="12">
                    <c:v>2.9244584149856339</c:v>
                  </c:pt>
                  <c:pt idx="13">
                    <c:v>8.6490520238212287</c:v>
                  </c:pt>
                  <c:pt idx="14">
                    <c:v>3.6504837939045438</c:v>
                  </c:pt>
                  <c:pt idx="15">
                    <c:v>5.4220890953064496</c:v>
                  </c:pt>
                  <c:pt idx="16">
                    <c:v>1.9155899417051605</c:v>
                  </c:pt>
                  <c:pt idx="17">
                    <c:v>3.5456274109270542</c:v>
                  </c:pt>
                  <c:pt idx="18">
                    <c:v>2.5414787168569384</c:v>
                  </c:pt>
                  <c:pt idx="19">
                    <c:v>3.6211047948734421</c:v>
                  </c:pt>
                  <c:pt idx="20">
                    <c:v>1.615720759529687</c:v>
                  </c:pt>
                  <c:pt idx="21">
                    <c:v>1.8126828601485552</c:v>
                  </c:pt>
                  <c:pt idx="22">
                    <c:v>9.3041538371059502</c:v>
                  </c:pt>
                  <c:pt idx="23">
                    <c:v>2.8586647760596198</c:v>
                  </c:pt>
                  <c:pt idx="24">
                    <c:v>3.1835349863980444</c:v>
                  </c:pt>
                  <c:pt idx="25">
                    <c:v>6.6502887657487664</c:v>
                  </c:pt>
                  <c:pt idx="26">
                    <c:v>10.355828313990274</c:v>
                  </c:pt>
                  <c:pt idx="27">
                    <c:v>13.84267754219341</c:v>
                  </c:pt>
                  <c:pt idx="28">
                    <c:v>22.13362001989838</c:v>
                  </c:pt>
                  <c:pt idx="29">
                    <c:v>20.219196735882452</c:v>
                  </c:pt>
                  <c:pt idx="30">
                    <c:v>21.815913562374099</c:v>
                  </c:pt>
                  <c:pt idx="31">
                    <c:v>10.687843505300117</c:v>
                  </c:pt>
                  <c:pt idx="32">
                    <c:v>10.196035901764946</c:v>
                  </c:pt>
                  <c:pt idx="33">
                    <c:v>10.842058591158894</c:v>
                  </c:pt>
                  <c:pt idx="34">
                    <c:v>14.163054105257665</c:v>
                  </c:pt>
                  <c:pt idx="35">
                    <c:v>27.453241406694666</c:v>
                  </c:pt>
                  <c:pt idx="36">
                    <c:v>10.34533143939449</c:v>
                  </c:pt>
                  <c:pt idx="37">
                    <c:v>11.110214016895513</c:v>
                  </c:pt>
                  <c:pt idx="38">
                    <c:v>29.839354181022131</c:v>
                  </c:pt>
                  <c:pt idx="39">
                    <c:v>12.661504448262161</c:v>
                  </c:pt>
                  <c:pt idx="40">
                    <c:v>14.070614663775343</c:v>
                  </c:pt>
                  <c:pt idx="41">
                    <c:v>5.930535134400067</c:v>
                  </c:pt>
                  <c:pt idx="42">
                    <c:v>65.412916120314321</c:v>
                  </c:pt>
                  <c:pt idx="43">
                    <c:v>15.771388416483342</c:v>
                  </c:pt>
                  <c:pt idx="44">
                    <c:v>58.521576537752409</c:v>
                  </c:pt>
                  <c:pt idx="45">
                    <c:v>6.4307029553167325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Sheet1!$L$2:$L$47</c:f>
              <c:numCache>
                <c:formatCode>0</c:formatCode>
                <c:ptCount val="46"/>
                <c:pt idx="0">
                  <c:v>284.71322631800001</c:v>
                </c:pt>
                <c:pt idx="1">
                  <c:v>294.68939209000001</c:v>
                </c:pt>
                <c:pt idx="2">
                  <c:v>303.63504028300002</c:v>
                </c:pt>
                <c:pt idx="3">
                  <c:v>316</c:v>
                </c:pt>
                <c:pt idx="4">
                  <c:v>343.36782836899999</c:v>
                </c:pt>
                <c:pt idx="5">
                  <c:v>377.78582763700001</c:v>
                </c:pt>
                <c:pt idx="6">
                  <c:v>396.48348999000001</c:v>
                </c:pt>
                <c:pt idx="7">
                  <c:v>436.990478516</c:v>
                </c:pt>
                <c:pt idx="8">
                  <c:v>459.41976928700001</c:v>
                </c:pt>
                <c:pt idx="9">
                  <c:v>506.78582763700001</c:v>
                </c:pt>
                <c:pt idx="10">
                  <c:v>821.85357666000004</c:v>
                </c:pt>
                <c:pt idx="11">
                  <c:v>821.85357666000004</c:v>
                </c:pt>
                <c:pt idx="12">
                  <c:v>887.72674560500002</c:v>
                </c:pt>
                <c:pt idx="13">
                  <c:v>887.72674560500002</c:v>
                </c:pt>
                <c:pt idx="14">
                  <c:v>915.71697998000002</c:v>
                </c:pt>
                <c:pt idx="15">
                  <c:v>915.71697998000002</c:v>
                </c:pt>
                <c:pt idx="16">
                  <c:v>954.46228027300003</c:v>
                </c:pt>
                <c:pt idx="17">
                  <c:v>954.46228027300003</c:v>
                </c:pt>
                <c:pt idx="18">
                  <c:v>995.80053710899995</c:v>
                </c:pt>
                <c:pt idx="19">
                  <c:v>995.80053710899995</c:v>
                </c:pt>
                <c:pt idx="20">
                  <c:v>1113.4626464800001</c:v>
                </c:pt>
                <c:pt idx="21">
                  <c:v>1159.1307373</c:v>
                </c:pt>
                <c:pt idx="22">
                  <c:v>1206.9226074200001</c:v>
                </c:pt>
                <c:pt idx="23">
                  <c:v>1289.3337402300001</c:v>
                </c:pt>
                <c:pt idx="24">
                  <c:v>1340.0395507799999</c:v>
                </c:pt>
                <c:pt idx="25">
                  <c:v>1441.8370361299999</c:v>
                </c:pt>
                <c:pt idx="26">
                  <c:v>1526.9757080100001</c:v>
                </c:pt>
                <c:pt idx="27">
                  <c:v>1577.5518798799999</c:v>
                </c:pt>
                <c:pt idx="28">
                  <c:v>1710.6140136700001</c:v>
                </c:pt>
                <c:pt idx="29">
                  <c:v>1759.0534668</c:v>
                </c:pt>
                <c:pt idx="30">
                  <c:v>1807.7528076200001</c:v>
                </c:pt>
                <c:pt idx="31">
                  <c:v>1902.74255371</c:v>
                </c:pt>
                <c:pt idx="32">
                  <c:v>2035.1241455100001</c:v>
                </c:pt>
                <c:pt idx="33">
                  <c:v>2122.2141113299999</c:v>
                </c:pt>
                <c:pt idx="34">
                  <c:v>2162.6936035200001</c:v>
                </c:pt>
                <c:pt idx="35">
                  <c:v>2176.1313476599998</c:v>
                </c:pt>
                <c:pt idx="36">
                  <c:v>2238.2409668</c:v>
                </c:pt>
                <c:pt idx="37">
                  <c:v>2310.1774902299999</c:v>
                </c:pt>
                <c:pt idx="38">
                  <c:v>2429.2712402299999</c:v>
                </c:pt>
                <c:pt idx="39">
                  <c:v>2585.2856445299999</c:v>
                </c:pt>
                <c:pt idx="40">
                  <c:v>2686.2336425799999</c:v>
                </c:pt>
                <c:pt idx="41">
                  <c:v>2818.2167968799999</c:v>
                </c:pt>
                <c:pt idx="42">
                  <c:v>2916.2229003900002</c:v>
                </c:pt>
                <c:pt idx="43">
                  <c:v>3018.20703125</c:v>
                </c:pt>
                <c:pt idx="44">
                  <c:v>3123.3532714799999</c:v>
                </c:pt>
                <c:pt idx="45">
                  <c:v>3237.9897460900002</c:v>
                </c:pt>
              </c:numCache>
            </c:numRef>
          </c:xVal>
          <c:yVal>
            <c:numRef>
              <c:f>Sheet1!$T$2:$T$47</c:f>
              <c:numCache>
                <c:formatCode>0.000</c:formatCode>
                <c:ptCount val="46"/>
                <c:pt idx="0">
                  <c:v>8.0431256868811669</c:v>
                </c:pt>
                <c:pt idx="1">
                  <c:v>8.3205174572622163</c:v>
                </c:pt>
                <c:pt idx="2">
                  <c:v>8.3791746943990155</c:v>
                </c:pt>
                <c:pt idx="3">
                  <c:v>7.3890947887429972</c:v>
                </c:pt>
                <c:pt idx="4">
                  <c:v>12.482468435656566</c:v>
                </c:pt>
                <c:pt idx="5">
                  <c:v>9.1723483067437055</c:v>
                </c:pt>
                <c:pt idx="6">
                  <c:v>9.5657491885110506</c:v>
                </c:pt>
                <c:pt idx="7">
                  <c:v>10.687380077118515</c:v>
                </c:pt>
                <c:pt idx="8">
                  <c:v>23.973412680738811</c:v>
                </c:pt>
                <c:pt idx="9">
                  <c:v>23.574774918900882</c:v>
                </c:pt>
                <c:pt idx="10">
                  <c:v>10.946635171228685</c:v>
                </c:pt>
                <c:pt idx="11">
                  <c:v>13.279148799110207</c:v>
                </c:pt>
                <c:pt idx="12">
                  <c:v>13.467249018683153</c:v>
                </c:pt>
                <c:pt idx="13">
                  <c:v>15.642195214654317</c:v>
                </c:pt>
                <c:pt idx="14">
                  <c:v>17.793124366195563</c:v>
                </c:pt>
                <c:pt idx="15">
                  <c:v>8.434720399449251</c:v>
                </c:pt>
                <c:pt idx="16">
                  <c:v>16.994390085359367</c:v>
                </c:pt>
                <c:pt idx="17">
                  <c:v>12.594389257723979</c:v>
                </c:pt>
                <c:pt idx="18">
                  <c:v>14.342022181182818</c:v>
                </c:pt>
                <c:pt idx="19">
                  <c:v>12.004873106900554</c:v>
                </c:pt>
                <c:pt idx="20">
                  <c:v>16.442715767938882</c:v>
                </c:pt>
                <c:pt idx="21">
                  <c:v>14.203454903294935</c:v>
                </c:pt>
                <c:pt idx="22">
                  <c:v>24.518030119120397</c:v>
                </c:pt>
                <c:pt idx="23">
                  <c:v>21.579539043349126</c:v>
                </c:pt>
                <c:pt idx="24">
                  <c:v>33.358060394137752</c:v>
                </c:pt>
                <c:pt idx="25">
                  <c:v>42.657656240954339</c:v>
                </c:pt>
                <c:pt idx="26">
                  <c:v>46.612550346742097</c:v>
                </c:pt>
                <c:pt idx="27">
                  <c:v>54.927639052295781</c:v>
                </c:pt>
                <c:pt idx="28">
                  <c:v>88.254208920916597</c:v>
                </c:pt>
                <c:pt idx="29">
                  <c:v>81.381315116358408</c:v>
                </c:pt>
                <c:pt idx="30">
                  <c:v>78.949576881547372</c:v>
                </c:pt>
                <c:pt idx="31">
                  <c:v>85.9066282268913</c:v>
                </c:pt>
                <c:pt idx="32">
                  <c:v>73.894023022751284</c:v>
                </c:pt>
                <c:pt idx="33">
                  <c:v>65.520952130409697</c:v>
                </c:pt>
                <c:pt idx="34">
                  <c:v>80.836348126450858</c:v>
                </c:pt>
                <c:pt idx="35">
                  <c:v>84.212438672295605</c:v>
                </c:pt>
                <c:pt idx="36">
                  <c:v>78.606608235858928</c:v>
                </c:pt>
                <c:pt idx="37">
                  <c:v>66.808833053723447</c:v>
                </c:pt>
                <c:pt idx="38">
                  <c:v>95.900432836711687</c:v>
                </c:pt>
                <c:pt idx="39">
                  <c:v>75.405542137763689</c:v>
                </c:pt>
                <c:pt idx="40">
                  <c:v>75.686526178288815</c:v>
                </c:pt>
                <c:pt idx="41">
                  <c:v>84.986427871121066</c:v>
                </c:pt>
                <c:pt idx="42">
                  <c:v>180.36543506648627</c:v>
                </c:pt>
                <c:pt idx="43">
                  <c:v>152.79912200287072</c:v>
                </c:pt>
                <c:pt idx="44">
                  <c:v>231.82328957902828</c:v>
                </c:pt>
                <c:pt idx="45">
                  <c:v>209.18991906828734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A0-9A46-9CDD-83EF3759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37343"/>
        <c:axId val="1085357967"/>
      </c:scatterChart>
      <c:valAx>
        <c:axId val="889029871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517812223"/>
        <c:crosses val="autoZero"/>
        <c:crossBetween val="midCat"/>
        <c:majorUnit val="750"/>
      </c:valAx>
      <c:valAx>
        <c:axId val="517812223"/>
        <c:scaling>
          <c:orientation val="minMax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Soil 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65D4F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889029871"/>
        <c:crosses val="autoZero"/>
        <c:crossBetween val="midCat"/>
      </c:valAx>
      <c:valAx>
        <c:axId val="1085357967"/>
        <c:scaling>
          <c:orientation val="minMax"/>
          <c:max val="2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Graveimetric</a:t>
                </a:r>
                <a:r>
                  <a:rPr lang="en-US" baseline="0"/>
                  <a:t> Water Content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34837343"/>
        <c:crosses val="max"/>
        <c:crossBetween val="midCat"/>
      </c:valAx>
      <c:valAx>
        <c:axId val="1534837343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085357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3265091863517"/>
          <c:y val="3.8447799329296005E-2"/>
          <c:w val="0.75707204724409449"/>
          <c:h val="0.71535789305587971"/>
        </c:manualLayout>
      </c:layout>
      <c:scatterChart>
        <c:scatterStyle val="lineMarker"/>
        <c:varyColors val="0"/>
        <c:ser>
          <c:idx val="2"/>
          <c:order val="2"/>
          <c:tx>
            <c:v>Soil Mn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Sheet1!$BE$2:$BE$47</c:f>
                <c:numCache>
                  <c:formatCode>General</c:formatCode>
                  <c:ptCount val="46"/>
                  <c:pt idx="0">
                    <c:v>85.281885532626447</c:v>
                  </c:pt>
                  <c:pt idx="1">
                    <c:v>96.162362699758987</c:v>
                  </c:pt>
                  <c:pt idx="2">
                    <c:v>36.143233576055884</c:v>
                  </c:pt>
                  <c:pt idx="3">
                    <c:v>10.038813564250399</c:v>
                  </c:pt>
                  <c:pt idx="4">
                    <c:v>3.7564758898615485</c:v>
                  </c:pt>
                  <c:pt idx="5">
                    <c:v>15.666666666666666</c:v>
                  </c:pt>
                  <c:pt idx="6">
                    <c:v>27.155928348050352</c:v>
                  </c:pt>
                  <c:pt idx="7">
                    <c:v>21.496769783181641</c:v>
                  </c:pt>
                  <c:pt idx="8">
                    <c:v>11.532562594670797</c:v>
                  </c:pt>
                  <c:pt idx="9">
                    <c:v>18.147543451754935</c:v>
                  </c:pt>
                  <c:pt idx="10">
                    <c:v>33.501243758005963</c:v>
                  </c:pt>
                  <c:pt idx="11">
                    <c:v>11.930353445448855</c:v>
                  </c:pt>
                  <c:pt idx="12">
                    <c:v>6.5659052011974035</c:v>
                  </c:pt>
                  <c:pt idx="13">
                    <c:v>43.015501081974314</c:v>
                  </c:pt>
                  <c:pt idx="14">
                    <c:v>29.253375873563719</c:v>
                  </c:pt>
                  <c:pt idx="15">
                    <c:v>123.88761035712989</c:v>
                  </c:pt>
                  <c:pt idx="16">
                    <c:v>40.772186746864733</c:v>
                  </c:pt>
                  <c:pt idx="17">
                    <c:v>70.555935257071042</c:v>
                  </c:pt>
                  <c:pt idx="18">
                    <c:v>66.255113010242454</c:v>
                  </c:pt>
                  <c:pt idx="19">
                    <c:v>56.947695300161179</c:v>
                  </c:pt>
                  <c:pt idx="20">
                    <c:v>164.86770453912433</c:v>
                  </c:pt>
                  <c:pt idx="21">
                    <c:v>301.37262649417909</c:v>
                  </c:pt>
                  <c:pt idx="22">
                    <c:v>73.200683056922344</c:v>
                  </c:pt>
                  <c:pt idx="23">
                    <c:v>83.899980870816989</c:v>
                  </c:pt>
                  <c:pt idx="24">
                    <c:v>226.35891853426085</c:v>
                  </c:pt>
                  <c:pt idx="25">
                    <c:v>111.96995849306289</c:v>
                  </c:pt>
                  <c:pt idx="26">
                    <c:v>468.14873704838698</c:v>
                  </c:pt>
                  <c:pt idx="27">
                    <c:v>250.63008598330697</c:v>
                  </c:pt>
                  <c:pt idx="28">
                    <c:v>104.47841882417632</c:v>
                  </c:pt>
                  <c:pt idx="29">
                    <c:v>78.851125546817656</c:v>
                  </c:pt>
                  <c:pt idx="30">
                    <c:v>29.713633234594518</c:v>
                  </c:pt>
                  <c:pt idx="31">
                    <c:v>44.777673007873013</c:v>
                  </c:pt>
                  <c:pt idx="32">
                    <c:v>89.35905102450451</c:v>
                  </c:pt>
                  <c:pt idx="33">
                    <c:v>15.878916839633614</c:v>
                  </c:pt>
                  <c:pt idx="34">
                    <c:v>17.79719078956002</c:v>
                  </c:pt>
                  <c:pt idx="35">
                    <c:v>88.539491753680295</c:v>
                  </c:pt>
                  <c:pt idx="36">
                    <c:v>41.211903620192068</c:v>
                  </c:pt>
                  <c:pt idx="37">
                    <c:v>6.536308846232199</c:v>
                  </c:pt>
                  <c:pt idx="38">
                    <c:v>34.887772452059288</c:v>
                  </c:pt>
                  <c:pt idx="39">
                    <c:v>3.8054055120461632</c:v>
                  </c:pt>
                  <c:pt idx="40">
                    <c:v>69.262507895686298</c:v>
                  </c:pt>
                  <c:pt idx="41">
                    <c:v>15.483790807737559</c:v>
                  </c:pt>
                  <c:pt idx="42">
                    <c:v>44.30914578278442</c:v>
                  </c:pt>
                  <c:pt idx="43">
                    <c:v>5.2041649986653322</c:v>
                  </c:pt>
                  <c:pt idx="44">
                    <c:v>19.397959514684178</c:v>
                  </c:pt>
                  <c:pt idx="45">
                    <c:v>3.5725807665234677</c:v>
                  </c:pt>
                </c:numCache>
              </c:numRef>
            </c:plus>
            <c:minus>
              <c:numRef>
                <c:f>Sheet1!$BE$2:$BE$47</c:f>
                <c:numCache>
                  <c:formatCode>General</c:formatCode>
                  <c:ptCount val="46"/>
                  <c:pt idx="0">
                    <c:v>85.281885532626447</c:v>
                  </c:pt>
                  <c:pt idx="1">
                    <c:v>96.162362699758987</c:v>
                  </c:pt>
                  <c:pt idx="2">
                    <c:v>36.143233576055884</c:v>
                  </c:pt>
                  <c:pt idx="3">
                    <c:v>10.038813564250399</c:v>
                  </c:pt>
                  <c:pt idx="4">
                    <c:v>3.7564758898615485</c:v>
                  </c:pt>
                  <c:pt idx="5">
                    <c:v>15.666666666666666</c:v>
                  </c:pt>
                  <c:pt idx="6">
                    <c:v>27.155928348050352</c:v>
                  </c:pt>
                  <c:pt idx="7">
                    <c:v>21.496769783181641</c:v>
                  </c:pt>
                  <c:pt idx="8">
                    <c:v>11.532562594670797</c:v>
                  </c:pt>
                  <c:pt idx="9">
                    <c:v>18.147543451754935</c:v>
                  </c:pt>
                  <c:pt idx="10">
                    <c:v>33.501243758005963</c:v>
                  </c:pt>
                  <c:pt idx="11">
                    <c:v>11.930353445448855</c:v>
                  </c:pt>
                  <c:pt idx="12">
                    <c:v>6.5659052011974035</c:v>
                  </c:pt>
                  <c:pt idx="13">
                    <c:v>43.015501081974314</c:v>
                  </c:pt>
                  <c:pt idx="14">
                    <c:v>29.253375873563719</c:v>
                  </c:pt>
                  <c:pt idx="15">
                    <c:v>123.88761035712989</c:v>
                  </c:pt>
                  <c:pt idx="16">
                    <c:v>40.772186746864733</c:v>
                  </c:pt>
                  <c:pt idx="17">
                    <c:v>70.555935257071042</c:v>
                  </c:pt>
                  <c:pt idx="18">
                    <c:v>66.255113010242454</c:v>
                  </c:pt>
                  <c:pt idx="19">
                    <c:v>56.947695300161179</c:v>
                  </c:pt>
                  <c:pt idx="20">
                    <c:v>164.86770453912433</c:v>
                  </c:pt>
                  <c:pt idx="21">
                    <c:v>301.37262649417909</c:v>
                  </c:pt>
                  <c:pt idx="22">
                    <c:v>73.200683056922344</c:v>
                  </c:pt>
                  <c:pt idx="23">
                    <c:v>83.899980870816989</c:v>
                  </c:pt>
                  <c:pt idx="24">
                    <c:v>226.35891853426085</c:v>
                  </c:pt>
                  <c:pt idx="25">
                    <c:v>111.96995849306289</c:v>
                  </c:pt>
                  <c:pt idx="26">
                    <c:v>468.14873704838698</c:v>
                  </c:pt>
                  <c:pt idx="27">
                    <c:v>250.63008598330697</c:v>
                  </c:pt>
                  <c:pt idx="28">
                    <c:v>104.47841882417632</c:v>
                  </c:pt>
                  <c:pt idx="29">
                    <c:v>78.851125546817656</c:v>
                  </c:pt>
                  <c:pt idx="30">
                    <c:v>29.713633234594518</c:v>
                  </c:pt>
                  <c:pt idx="31">
                    <c:v>44.777673007873013</c:v>
                  </c:pt>
                  <c:pt idx="32">
                    <c:v>89.35905102450451</c:v>
                  </c:pt>
                  <c:pt idx="33">
                    <c:v>15.878916839633614</c:v>
                  </c:pt>
                  <c:pt idx="34">
                    <c:v>17.79719078956002</c:v>
                  </c:pt>
                  <c:pt idx="35">
                    <c:v>88.539491753680295</c:v>
                  </c:pt>
                  <c:pt idx="36">
                    <c:v>41.211903620192068</c:v>
                  </c:pt>
                  <c:pt idx="37">
                    <c:v>6.536308846232199</c:v>
                  </c:pt>
                  <c:pt idx="38">
                    <c:v>34.887772452059288</c:v>
                  </c:pt>
                  <c:pt idx="39">
                    <c:v>3.8054055120461632</c:v>
                  </c:pt>
                  <c:pt idx="40">
                    <c:v>69.262507895686298</c:v>
                  </c:pt>
                  <c:pt idx="41">
                    <c:v>15.483790807737559</c:v>
                  </c:pt>
                  <c:pt idx="42">
                    <c:v>44.30914578278442</c:v>
                  </c:pt>
                  <c:pt idx="43">
                    <c:v>5.2041649986653322</c:v>
                  </c:pt>
                  <c:pt idx="44">
                    <c:v>19.397959514684178</c:v>
                  </c:pt>
                  <c:pt idx="45">
                    <c:v>3.5725807665234677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Sheet1!$BI$2:$BI$47</c:f>
              <c:numCache>
                <c:formatCode>0</c:formatCode>
                <c:ptCount val="46"/>
                <c:pt idx="0">
                  <c:v>294.68939209000001</c:v>
                </c:pt>
                <c:pt idx="1">
                  <c:v>284.71322631800001</c:v>
                </c:pt>
                <c:pt idx="2">
                  <c:v>303.63504028300002</c:v>
                </c:pt>
                <c:pt idx="3">
                  <c:v>316</c:v>
                </c:pt>
                <c:pt idx="4">
                  <c:v>343.36782836899999</c:v>
                </c:pt>
                <c:pt idx="5">
                  <c:v>377.78582763700001</c:v>
                </c:pt>
                <c:pt idx="6">
                  <c:v>396.48348999000001</c:v>
                </c:pt>
                <c:pt idx="7">
                  <c:v>436.990478516</c:v>
                </c:pt>
                <c:pt idx="8">
                  <c:v>459.41976928700001</c:v>
                </c:pt>
                <c:pt idx="9">
                  <c:v>506.78582763700001</c:v>
                </c:pt>
                <c:pt idx="10">
                  <c:v>584.31420898399995</c:v>
                </c:pt>
                <c:pt idx="11">
                  <c:v>613.12280273399995</c:v>
                </c:pt>
                <c:pt idx="12">
                  <c:v>670.68457031299999</c:v>
                </c:pt>
                <c:pt idx="13">
                  <c:v>698.42150878899997</c:v>
                </c:pt>
                <c:pt idx="14">
                  <c:v>759.40155029300001</c:v>
                </c:pt>
                <c:pt idx="15">
                  <c:v>821.85357666000004</c:v>
                </c:pt>
                <c:pt idx="16">
                  <c:v>887.72674560500002</c:v>
                </c:pt>
                <c:pt idx="17">
                  <c:v>915.71697998000002</c:v>
                </c:pt>
                <c:pt idx="18">
                  <c:v>954.46228027300003</c:v>
                </c:pt>
                <c:pt idx="19">
                  <c:v>995.80053710899995</c:v>
                </c:pt>
                <c:pt idx="20">
                  <c:v>1113.4626464800001</c:v>
                </c:pt>
                <c:pt idx="21">
                  <c:v>1159.1307373</c:v>
                </c:pt>
                <c:pt idx="22">
                  <c:v>1206.9226074200001</c:v>
                </c:pt>
                <c:pt idx="23">
                  <c:v>1289.3337402300001</c:v>
                </c:pt>
                <c:pt idx="24">
                  <c:v>1340.0395507799999</c:v>
                </c:pt>
                <c:pt idx="25">
                  <c:v>1441.8370361299999</c:v>
                </c:pt>
                <c:pt idx="26">
                  <c:v>1526.9757080100001</c:v>
                </c:pt>
                <c:pt idx="27">
                  <c:v>1577.5518798799999</c:v>
                </c:pt>
                <c:pt idx="28">
                  <c:v>1710.6140136700001</c:v>
                </c:pt>
                <c:pt idx="29">
                  <c:v>1759</c:v>
                </c:pt>
                <c:pt idx="30">
                  <c:v>1807.7528076200001</c:v>
                </c:pt>
                <c:pt idx="31">
                  <c:v>1902.74255371</c:v>
                </c:pt>
                <c:pt idx="32">
                  <c:v>2035.1241455100001</c:v>
                </c:pt>
                <c:pt idx="33">
                  <c:v>2122.2141113299999</c:v>
                </c:pt>
                <c:pt idx="34">
                  <c:v>2162.6936035200001</c:v>
                </c:pt>
                <c:pt idx="35">
                  <c:v>2176.1313476599998</c:v>
                </c:pt>
                <c:pt idx="36">
                  <c:v>2238.2409668</c:v>
                </c:pt>
                <c:pt idx="37">
                  <c:v>2310.1774902299999</c:v>
                </c:pt>
                <c:pt idx="38">
                  <c:v>2429.2712402299999</c:v>
                </c:pt>
                <c:pt idx="39">
                  <c:v>2585.2856445299999</c:v>
                </c:pt>
                <c:pt idx="40">
                  <c:v>2686.2336425799999</c:v>
                </c:pt>
                <c:pt idx="41">
                  <c:v>2818.2167968799999</c:v>
                </c:pt>
                <c:pt idx="42">
                  <c:v>2916.2229003900002</c:v>
                </c:pt>
                <c:pt idx="43">
                  <c:v>3018.20703125</c:v>
                </c:pt>
                <c:pt idx="44">
                  <c:v>3123.3532714799999</c:v>
                </c:pt>
                <c:pt idx="45">
                  <c:v>3237.9897460900002</c:v>
                </c:pt>
              </c:numCache>
            </c:numRef>
          </c:xVal>
          <c:yVal>
            <c:numRef>
              <c:f>Sheet1!$BB$2:$BB$47</c:f>
              <c:numCache>
                <c:formatCode>0.00</c:formatCode>
                <c:ptCount val="46"/>
                <c:pt idx="0">
                  <c:v>2431</c:v>
                </c:pt>
                <c:pt idx="1">
                  <c:v>2521</c:v>
                </c:pt>
                <c:pt idx="2">
                  <c:v>2719</c:v>
                </c:pt>
                <c:pt idx="3">
                  <c:v>2472.6666666666665</c:v>
                </c:pt>
                <c:pt idx="4">
                  <c:v>2449.3333333333335</c:v>
                </c:pt>
                <c:pt idx="5">
                  <c:v>2330.3333333333335</c:v>
                </c:pt>
                <c:pt idx="6">
                  <c:v>2677.3333333333335</c:v>
                </c:pt>
                <c:pt idx="7">
                  <c:v>2423.3333333333335</c:v>
                </c:pt>
                <c:pt idx="8">
                  <c:v>2305</c:v>
                </c:pt>
                <c:pt idx="9">
                  <c:v>2230</c:v>
                </c:pt>
                <c:pt idx="10">
                  <c:v>2281</c:v>
                </c:pt>
                <c:pt idx="11">
                  <c:v>2020</c:v>
                </c:pt>
                <c:pt idx="12">
                  <c:v>1994.6666666666667</c:v>
                </c:pt>
                <c:pt idx="13">
                  <c:v>2006</c:v>
                </c:pt>
                <c:pt idx="14">
                  <c:v>2208.6</c:v>
                </c:pt>
                <c:pt idx="15">
                  <c:v>2411.8000000000002</c:v>
                </c:pt>
                <c:pt idx="16">
                  <c:v>1892.5</c:v>
                </c:pt>
                <c:pt idx="17">
                  <c:v>2427.8000000000002</c:v>
                </c:pt>
                <c:pt idx="18">
                  <c:v>2796.8</c:v>
                </c:pt>
                <c:pt idx="19">
                  <c:v>2587.8000000000002</c:v>
                </c:pt>
                <c:pt idx="20">
                  <c:v>3499.4</c:v>
                </c:pt>
                <c:pt idx="21">
                  <c:v>2260.4</c:v>
                </c:pt>
                <c:pt idx="22">
                  <c:v>3308.8</c:v>
                </c:pt>
                <c:pt idx="23">
                  <c:v>2901.8888888888887</c:v>
                </c:pt>
                <c:pt idx="24">
                  <c:v>2903.4</c:v>
                </c:pt>
                <c:pt idx="25">
                  <c:v>2870.2222222222222</c:v>
                </c:pt>
                <c:pt idx="26">
                  <c:v>2609.8000000000002</c:v>
                </c:pt>
                <c:pt idx="27">
                  <c:v>2718.8</c:v>
                </c:pt>
                <c:pt idx="28">
                  <c:v>2423.1999999999998</c:v>
                </c:pt>
                <c:pt idx="29">
                  <c:v>3330</c:v>
                </c:pt>
                <c:pt idx="30">
                  <c:v>2655</c:v>
                </c:pt>
                <c:pt idx="31">
                  <c:v>1389.8</c:v>
                </c:pt>
                <c:pt idx="32">
                  <c:v>1846.2</c:v>
                </c:pt>
                <c:pt idx="33">
                  <c:v>1175.8</c:v>
                </c:pt>
                <c:pt idx="34">
                  <c:v>1179.2</c:v>
                </c:pt>
                <c:pt idx="35">
                  <c:v>1185.04</c:v>
                </c:pt>
                <c:pt idx="36">
                  <c:v>823.5</c:v>
                </c:pt>
                <c:pt idx="37">
                  <c:v>463.59999999999997</c:v>
                </c:pt>
                <c:pt idx="38">
                  <c:v>1098.5333333333333</c:v>
                </c:pt>
                <c:pt idx="39">
                  <c:v>544.03333333333342</c:v>
                </c:pt>
                <c:pt idx="40">
                  <c:v>634.70000000000005</c:v>
                </c:pt>
                <c:pt idx="41">
                  <c:v>814.73333333333323</c:v>
                </c:pt>
                <c:pt idx="42">
                  <c:v>851.91999999999985</c:v>
                </c:pt>
                <c:pt idx="43">
                  <c:v>452.7</c:v>
                </c:pt>
                <c:pt idx="44">
                  <c:v>479.80000000000007</c:v>
                </c:pt>
                <c:pt idx="45">
                  <c:v>644.09999999999991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3B-5443-9199-53E978016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589663"/>
        <c:axId val="1418644959"/>
      </c:scatterChart>
      <c:scatterChart>
        <c:scatterStyle val="lineMarker"/>
        <c:varyColors val="0"/>
        <c:ser>
          <c:idx val="0"/>
          <c:order val="0"/>
          <c:tx>
            <c:v>Pyrophosphate-extractable Mn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Sheet1!$AM$2:$AM$47</c:f>
                <c:numCache>
                  <c:formatCode>General</c:formatCode>
                  <c:ptCount val="46"/>
                  <c:pt idx="0">
                    <c:v>8.142461105054094E-2</c:v>
                  </c:pt>
                  <c:pt idx="1">
                    <c:v>1.2182126924722628E-2</c:v>
                  </c:pt>
                  <c:pt idx="2">
                    <c:v>1.9687234915066326E-2</c:v>
                  </c:pt>
                  <c:pt idx="3">
                    <c:v>9.2357353148229862E-2</c:v>
                  </c:pt>
                  <c:pt idx="4">
                    <c:v>1.6861804547727285E-2</c:v>
                  </c:pt>
                  <c:pt idx="5">
                    <c:v>4.2668959093541972E-2</c:v>
                  </c:pt>
                  <c:pt idx="6">
                    <c:v>7.4754264803325823E-2</c:v>
                  </c:pt>
                  <c:pt idx="7">
                    <c:v>1.164144106662904E-2</c:v>
                  </c:pt>
                  <c:pt idx="8">
                    <c:v>3.9584764394884293E-2</c:v>
                  </c:pt>
                  <c:pt idx="9">
                    <c:v>4.7853892643234364E-2</c:v>
                  </c:pt>
                  <c:pt idx="10">
                    <c:v>3.063156621933396E-2</c:v>
                  </c:pt>
                  <c:pt idx="11">
                    <c:v>4.4606077069243473E-2</c:v>
                  </c:pt>
                  <c:pt idx="12">
                    <c:v>1.6252711320796632E-2</c:v>
                  </c:pt>
                  <c:pt idx="13">
                    <c:v>1.3920861570455575E-2</c:v>
                  </c:pt>
                  <c:pt idx="14">
                    <c:v>1.4329299533970849E-2</c:v>
                  </c:pt>
                  <c:pt idx="15">
                    <c:v>0.11208085184856631</c:v>
                  </c:pt>
                  <c:pt idx="16">
                    <c:v>1.3179240118770265E-2</c:v>
                  </c:pt>
                  <c:pt idx="17">
                    <c:v>0.18129009417534844</c:v>
                  </c:pt>
                  <c:pt idx="18">
                    <c:v>4.6924861980426384E-2</c:v>
                  </c:pt>
                  <c:pt idx="19">
                    <c:v>7.0538354964415961E-2</c:v>
                  </c:pt>
                  <c:pt idx="20">
                    <c:v>4.008581629669257E-2</c:v>
                  </c:pt>
                  <c:pt idx="21">
                    <c:v>7.5084144072477248E-3</c:v>
                  </c:pt>
                  <c:pt idx="22">
                    <c:v>24.882604943248278</c:v>
                  </c:pt>
                  <c:pt idx="23">
                    <c:v>21.823693510299663</c:v>
                  </c:pt>
                  <c:pt idx="24">
                    <c:v>4.0061870970992147E-2</c:v>
                  </c:pt>
                  <c:pt idx="25">
                    <c:v>4.9325755192881875</c:v>
                  </c:pt>
                  <c:pt idx="26">
                    <c:v>11.689657461091993</c:v>
                  </c:pt>
                  <c:pt idx="27">
                    <c:v>8.7100544960647621</c:v>
                  </c:pt>
                  <c:pt idx="28">
                    <c:v>48.684635235472491</c:v>
                  </c:pt>
                  <c:pt idx="29">
                    <c:v>46.666927158836515</c:v>
                  </c:pt>
                  <c:pt idx="30">
                    <c:v>41.850060987428868</c:v>
                  </c:pt>
                  <c:pt idx="31">
                    <c:v>28.535973958445926</c:v>
                  </c:pt>
                  <c:pt idx="32">
                    <c:v>105.93556885349535</c:v>
                  </c:pt>
                  <c:pt idx="33">
                    <c:v>10.496114958117765</c:v>
                  </c:pt>
                  <c:pt idx="34">
                    <c:v>12.220710073916587</c:v>
                  </c:pt>
                  <c:pt idx="35">
                    <c:v>15.397098089691639</c:v>
                  </c:pt>
                  <c:pt idx="36">
                    <c:v>7.4375682262181941</c:v>
                  </c:pt>
                  <c:pt idx="37">
                    <c:v>0.25768774057841409</c:v>
                  </c:pt>
                  <c:pt idx="38">
                    <c:v>16.108717867363403</c:v>
                  </c:pt>
                  <c:pt idx="39">
                    <c:v>0.85355612372758716</c:v>
                  </c:pt>
                  <c:pt idx="40">
                    <c:v>19.806317103743471</c:v>
                  </c:pt>
                  <c:pt idx="41">
                    <c:v>0.5103185563131527</c:v>
                  </c:pt>
                  <c:pt idx="42">
                    <c:v>3.8426892877037599</c:v>
                  </c:pt>
                  <c:pt idx="43">
                    <c:v>3.1164690813077316</c:v>
                  </c:pt>
                  <c:pt idx="44">
                    <c:v>220.42705932129351</c:v>
                  </c:pt>
                  <c:pt idx="45">
                    <c:v>6.0370948297807976</c:v>
                  </c:pt>
                </c:numCache>
              </c:numRef>
            </c:plus>
            <c:minus>
              <c:numRef>
                <c:f>Sheet1!$AM$2:$AM$47</c:f>
                <c:numCache>
                  <c:formatCode>General</c:formatCode>
                  <c:ptCount val="46"/>
                  <c:pt idx="0">
                    <c:v>8.142461105054094E-2</c:v>
                  </c:pt>
                  <c:pt idx="1">
                    <c:v>1.2182126924722628E-2</c:v>
                  </c:pt>
                  <c:pt idx="2">
                    <c:v>1.9687234915066326E-2</c:v>
                  </c:pt>
                  <c:pt idx="3">
                    <c:v>9.2357353148229862E-2</c:v>
                  </c:pt>
                  <c:pt idx="4">
                    <c:v>1.6861804547727285E-2</c:v>
                  </c:pt>
                  <c:pt idx="5">
                    <c:v>4.2668959093541972E-2</c:v>
                  </c:pt>
                  <c:pt idx="6">
                    <c:v>7.4754264803325823E-2</c:v>
                  </c:pt>
                  <c:pt idx="7">
                    <c:v>1.164144106662904E-2</c:v>
                  </c:pt>
                  <c:pt idx="8">
                    <c:v>3.9584764394884293E-2</c:v>
                  </c:pt>
                  <c:pt idx="9">
                    <c:v>4.7853892643234364E-2</c:v>
                  </c:pt>
                  <c:pt idx="10">
                    <c:v>3.063156621933396E-2</c:v>
                  </c:pt>
                  <c:pt idx="11">
                    <c:v>4.4606077069243473E-2</c:v>
                  </c:pt>
                  <c:pt idx="12">
                    <c:v>1.6252711320796632E-2</c:v>
                  </c:pt>
                  <c:pt idx="13">
                    <c:v>1.3920861570455575E-2</c:v>
                  </c:pt>
                  <c:pt idx="14">
                    <c:v>1.4329299533970849E-2</c:v>
                  </c:pt>
                  <c:pt idx="15">
                    <c:v>0.11208085184856631</c:v>
                  </c:pt>
                  <c:pt idx="16">
                    <c:v>1.3179240118770265E-2</c:v>
                  </c:pt>
                  <c:pt idx="17">
                    <c:v>0.18129009417534844</c:v>
                  </c:pt>
                  <c:pt idx="18">
                    <c:v>4.6924861980426384E-2</c:v>
                  </c:pt>
                  <c:pt idx="19">
                    <c:v>7.0538354964415961E-2</c:v>
                  </c:pt>
                  <c:pt idx="20">
                    <c:v>4.008581629669257E-2</c:v>
                  </c:pt>
                  <c:pt idx="21">
                    <c:v>7.5084144072477248E-3</c:v>
                  </c:pt>
                  <c:pt idx="22">
                    <c:v>24.882604943248278</c:v>
                  </c:pt>
                  <c:pt idx="23">
                    <c:v>21.823693510299663</c:v>
                  </c:pt>
                  <c:pt idx="24">
                    <c:v>4.0061870970992147E-2</c:v>
                  </c:pt>
                  <c:pt idx="25">
                    <c:v>4.9325755192881875</c:v>
                  </c:pt>
                  <c:pt idx="26">
                    <c:v>11.689657461091993</c:v>
                  </c:pt>
                  <c:pt idx="27">
                    <c:v>8.7100544960647621</c:v>
                  </c:pt>
                  <c:pt idx="28">
                    <c:v>48.684635235472491</c:v>
                  </c:pt>
                  <c:pt idx="29">
                    <c:v>46.666927158836515</c:v>
                  </c:pt>
                  <c:pt idx="30">
                    <c:v>41.850060987428868</c:v>
                  </c:pt>
                  <c:pt idx="31">
                    <c:v>28.535973958445926</c:v>
                  </c:pt>
                  <c:pt idx="32">
                    <c:v>105.93556885349535</c:v>
                  </c:pt>
                  <c:pt idx="33">
                    <c:v>10.496114958117765</c:v>
                  </c:pt>
                  <c:pt idx="34">
                    <c:v>12.220710073916587</c:v>
                  </c:pt>
                  <c:pt idx="35">
                    <c:v>15.397098089691639</c:v>
                  </c:pt>
                  <c:pt idx="36">
                    <c:v>7.4375682262181941</c:v>
                  </c:pt>
                  <c:pt idx="37">
                    <c:v>0.25768774057841409</c:v>
                  </c:pt>
                  <c:pt idx="38">
                    <c:v>16.108717867363403</c:v>
                  </c:pt>
                  <c:pt idx="39">
                    <c:v>0.85355612372758716</c:v>
                  </c:pt>
                  <c:pt idx="40">
                    <c:v>19.806317103743471</c:v>
                  </c:pt>
                  <c:pt idx="41">
                    <c:v>0.5103185563131527</c:v>
                  </c:pt>
                  <c:pt idx="42">
                    <c:v>3.8426892877037599</c:v>
                  </c:pt>
                  <c:pt idx="43">
                    <c:v>3.1164690813077316</c:v>
                  </c:pt>
                  <c:pt idx="44">
                    <c:v>220.42705932129351</c:v>
                  </c:pt>
                  <c:pt idx="45">
                    <c:v>6.0370948297807976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Sheet1!$AQ$2:$AQ$47</c:f>
              <c:numCache>
                <c:formatCode>0</c:formatCode>
                <c:ptCount val="46"/>
                <c:pt idx="0">
                  <c:v>294.68939209000001</c:v>
                </c:pt>
                <c:pt idx="1">
                  <c:v>284.71322631800001</c:v>
                </c:pt>
                <c:pt idx="2">
                  <c:v>303.63504028300002</c:v>
                </c:pt>
                <c:pt idx="3">
                  <c:v>316</c:v>
                </c:pt>
                <c:pt idx="4">
                  <c:v>343.36782836899999</c:v>
                </c:pt>
                <c:pt idx="5">
                  <c:v>377.78582763700001</c:v>
                </c:pt>
                <c:pt idx="6">
                  <c:v>396.48348999000001</c:v>
                </c:pt>
                <c:pt idx="7">
                  <c:v>436.990478516</c:v>
                </c:pt>
                <c:pt idx="8">
                  <c:v>459.41976928700001</c:v>
                </c:pt>
                <c:pt idx="9">
                  <c:v>506.78582763700001</c:v>
                </c:pt>
                <c:pt idx="10">
                  <c:v>584.31420898399995</c:v>
                </c:pt>
                <c:pt idx="11">
                  <c:v>613.12280273399995</c:v>
                </c:pt>
                <c:pt idx="12">
                  <c:v>670.68457031299999</c:v>
                </c:pt>
                <c:pt idx="13">
                  <c:v>698.42150878899997</c:v>
                </c:pt>
                <c:pt idx="14">
                  <c:v>759.40155029300001</c:v>
                </c:pt>
                <c:pt idx="15">
                  <c:v>821.85357666000004</c:v>
                </c:pt>
                <c:pt idx="16">
                  <c:v>887.72674560500002</c:v>
                </c:pt>
                <c:pt idx="17">
                  <c:v>915.71697998000002</c:v>
                </c:pt>
                <c:pt idx="18">
                  <c:v>954.46228027300003</c:v>
                </c:pt>
                <c:pt idx="19">
                  <c:v>995.80053710899995</c:v>
                </c:pt>
                <c:pt idx="20">
                  <c:v>1113.4626464800001</c:v>
                </c:pt>
                <c:pt idx="21">
                  <c:v>1159.1307373</c:v>
                </c:pt>
                <c:pt idx="22">
                  <c:v>1206.9226074200001</c:v>
                </c:pt>
                <c:pt idx="23">
                  <c:v>1289.3337402300001</c:v>
                </c:pt>
                <c:pt idx="24">
                  <c:v>1340.0395507799999</c:v>
                </c:pt>
                <c:pt idx="25">
                  <c:v>1441.8370361299999</c:v>
                </c:pt>
                <c:pt idx="26">
                  <c:v>1526.9757080100001</c:v>
                </c:pt>
                <c:pt idx="27">
                  <c:v>1577.5518798799999</c:v>
                </c:pt>
                <c:pt idx="28">
                  <c:v>1710.6140136700001</c:v>
                </c:pt>
                <c:pt idx="29">
                  <c:v>1759</c:v>
                </c:pt>
                <c:pt idx="30">
                  <c:v>1807.7528076200001</c:v>
                </c:pt>
                <c:pt idx="31">
                  <c:v>1902.74255371</c:v>
                </c:pt>
                <c:pt idx="32">
                  <c:v>2035.1241455100001</c:v>
                </c:pt>
                <c:pt idx="33">
                  <c:v>2122.2141113299999</c:v>
                </c:pt>
                <c:pt idx="34">
                  <c:v>2162.6936035200001</c:v>
                </c:pt>
                <c:pt idx="35">
                  <c:v>2176.1313476599998</c:v>
                </c:pt>
                <c:pt idx="36">
                  <c:v>2238.2409668</c:v>
                </c:pt>
                <c:pt idx="37">
                  <c:v>2310.1774902299999</c:v>
                </c:pt>
                <c:pt idx="38">
                  <c:v>2429.2712402299999</c:v>
                </c:pt>
                <c:pt idx="39">
                  <c:v>2585.2856445299999</c:v>
                </c:pt>
                <c:pt idx="40">
                  <c:v>2686.2336425799999</c:v>
                </c:pt>
                <c:pt idx="41">
                  <c:v>2818.2167968799999</c:v>
                </c:pt>
                <c:pt idx="42">
                  <c:v>2916.2229003900002</c:v>
                </c:pt>
                <c:pt idx="43">
                  <c:v>3018.20703125</c:v>
                </c:pt>
                <c:pt idx="44">
                  <c:v>3123.3532714799999</c:v>
                </c:pt>
                <c:pt idx="45">
                  <c:v>3237.9897460900002</c:v>
                </c:pt>
              </c:numCache>
            </c:numRef>
          </c:xVal>
          <c:yVal>
            <c:numRef>
              <c:f>Sheet1!$AJ$2:$AJ$47</c:f>
              <c:numCache>
                <c:formatCode>General</c:formatCode>
                <c:ptCount val="46"/>
                <c:pt idx="0">
                  <c:v>16.380628340884936</c:v>
                </c:pt>
                <c:pt idx="1">
                  <c:v>12.373138907811807</c:v>
                </c:pt>
                <c:pt idx="2">
                  <c:v>10.879000744050265</c:v>
                </c:pt>
                <c:pt idx="3">
                  <c:v>19.064316600059602</c:v>
                </c:pt>
                <c:pt idx="4">
                  <c:v>6.2761009153402938</c:v>
                </c:pt>
                <c:pt idx="5">
                  <c:v>30.840324257792719</c:v>
                </c:pt>
                <c:pt idx="6">
                  <c:v>42.104627019462562</c:v>
                </c:pt>
                <c:pt idx="7">
                  <c:v>12.414582529422583</c:v>
                </c:pt>
                <c:pt idx="8">
                  <c:v>8.0373876657837453</c:v>
                </c:pt>
                <c:pt idx="9">
                  <c:v>23.913355847758851</c:v>
                </c:pt>
                <c:pt idx="10">
                  <c:v>8.8814836217827047</c:v>
                </c:pt>
                <c:pt idx="11">
                  <c:v>12.475641293755125</c:v>
                </c:pt>
                <c:pt idx="12">
                  <c:v>5.3616553379600695</c:v>
                </c:pt>
                <c:pt idx="13">
                  <c:v>17.885950343345346</c:v>
                </c:pt>
                <c:pt idx="14">
                  <c:v>9.4012254078776749</c:v>
                </c:pt>
                <c:pt idx="15">
                  <c:v>92.283684137613179</c:v>
                </c:pt>
                <c:pt idx="16">
                  <c:v>15.576390702642776</c:v>
                </c:pt>
                <c:pt idx="17">
                  <c:v>111.57936973117585</c:v>
                </c:pt>
                <c:pt idx="18">
                  <c:v>67.085908402699985</c:v>
                </c:pt>
                <c:pt idx="19">
                  <c:v>79.971417691353452</c:v>
                </c:pt>
                <c:pt idx="20">
                  <c:v>121.64936267280757</c:v>
                </c:pt>
                <c:pt idx="21">
                  <c:v>71.746917509355555</c:v>
                </c:pt>
                <c:pt idx="22">
                  <c:v>211.47441142357056</c:v>
                </c:pt>
                <c:pt idx="23">
                  <c:v>100.50080543985071</c:v>
                </c:pt>
                <c:pt idx="24">
                  <c:v>97.355093986914582</c:v>
                </c:pt>
                <c:pt idx="25">
                  <c:v>200.086684538458</c:v>
                </c:pt>
                <c:pt idx="26">
                  <c:v>138.00121312189336</c:v>
                </c:pt>
                <c:pt idx="27">
                  <c:v>234.64331105023447</c:v>
                </c:pt>
                <c:pt idx="28">
                  <c:v>202.731145901232</c:v>
                </c:pt>
                <c:pt idx="29">
                  <c:v>438.58130043292522</c:v>
                </c:pt>
                <c:pt idx="30">
                  <c:v>306.27181767970393</c:v>
                </c:pt>
                <c:pt idx="31">
                  <c:v>218.09240692521564</c:v>
                </c:pt>
                <c:pt idx="32">
                  <c:v>365.83571918293427</c:v>
                </c:pt>
                <c:pt idx="33">
                  <c:v>126.28321783245866</c:v>
                </c:pt>
                <c:pt idx="34">
                  <c:v>201.46396648707119</c:v>
                </c:pt>
                <c:pt idx="35">
                  <c:v>255.56213561613004</c:v>
                </c:pt>
                <c:pt idx="36">
                  <c:v>63.408063704653252</c:v>
                </c:pt>
                <c:pt idx="37">
                  <c:v>50.427463707852162</c:v>
                </c:pt>
                <c:pt idx="38">
                  <c:v>116.70225279461006</c:v>
                </c:pt>
                <c:pt idx="39">
                  <c:v>24.285969173452077</c:v>
                </c:pt>
                <c:pt idx="40">
                  <c:v>56.779246762918433</c:v>
                </c:pt>
                <c:pt idx="41">
                  <c:v>22.286010308425919</c:v>
                </c:pt>
                <c:pt idx="42">
                  <c:v>21.796626251410803</c:v>
                </c:pt>
                <c:pt idx="43">
                  <c:v>7.858552924482396</c:v>
                </c:pt>
                <c:pt idx="44">
                  <c:v>276.22818912275238</c:v>
                </c:pt>
                <c:pt idx="45">
                  <c:v>81.788315542726664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B-5443-9199-53E978016A87}"/>
            </c:ext>
          </c:extLst>
        </c:ser>
        <c:ser>
          <c:idx val="1"/>
          <c:order val="1"/>
          <c:tx>
            <c:v>Grass Mn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Sheet1!$AW$2:$AW$47</c:f>
                <c:numCache>
                  <c:formatCode>General</c:formatCode>
                  <c:ptCount val="46"/>
                  <c:pt idx="0">
                    <c:v>8.7060553639406635</c:v>
                  </c:pt>
                  <c:pt idx="1">
                    <c:v>7.3427459691417143</c:v>
                  </c:pt>
                  <c:pt idx="2">
                    <c:v>5.6389715374348182</c:v>
                  </c:pt>
                  <c:pt idx="3">
                    <c:v>0.98762341001012366</c:v>
                  </c:pt>
                  <c:pt idx="4">
                    <c:v>5.1185349466424466</c:v>
                  </c:pt>
                  <c:pt idx="5">
                    <c:v>1.259126681474114</c:v>
                  </c:pt>
                  <c:pt idx="6">
                    <c:v>3.2415119928823315</c:v>
                  </c:pt>
                  <c:pt idx="7">
                    <c:v>1.6935250842205904</c:v>
                  </c:pt>
                  <c:pt idx="8">
                    <c:v>7.6793879964486749</c:v>
                  </c:pt>
                  <c:pt idx="9">
                    <c:v>9.7007937819541343</c:v>
                  </c:pt>
                  <c:pt idx="10">
                    <c:v>3.4534909873923221</c:v>
                  </c:pt>
                  <c:pt idx="11">
                    <c:v>2.5892083732291562</c:v>
                  </c:pt>
                  <c:pt idx="12">
                    <c:v>5.3014245293898465</c:v>
                  </c:pt>
                  <c:pt idx="13">
                    <c:v>8.8445237294045445</c:v>
                  </c:pt>
                  <c:pt idx="14">
                    <c:v>3.9200765298652023</c:v>
                  </c:pt>
                  <c:pt idx="15">
                    <c:v>14.981168178750277</c:v>
                  </c:pt>
                  <c:pt idx="16">
                    <c:v>2.880520786246823</c:v>
                  </c:pt>
                  <c:pt idx="17">
                    <c:v>12.516133588293151</c:v>
                  </c:pt>
                  <c:pt idx="18">
                    <c:v>5.1606782499977655</c:v>
                  </c:pt>
                  <c:pt idx="19">
                    <c:v>5.2302560387893591</c:v>
                  </c:pt>
                  <c:pt idx="20">
                    <c:v>11.807765806168973</c:v>
                  </c:pt>
                  <c:pt idx="21">
                    <c:v>14.311291389126625</c:v>
                  </c:pt>
                  <c:pt idx="22">
                    <c:v>8.744599098463997</c:v>
                  </c:pt>
                  <c:pt idx="23">
                    <c:v>6.6442241297019979</c:v>
                  </c:pt>
                  <c:pt idx="24">
                    <c:v>5.7258692118570487</c:v>
                  </c:pt>
                  <c:pt idx="25">
                    <c:v>10.598697134666171</c:v>
                  </c:pt>
                  <c:pt idx="26">
                    <c:v>3.7862382386743731</c:v>
                  </c:pt>
                  <c:pt idx="27">
                    <c:v>4.9889277405070107</c:v>
                  </c:pt>
                  <c:pt idx="28">
                    <c:v>5.0997450916687672</c:v>
                  </c:pt>
                  <c:pt idx="29">
                    <c:v>44.288842838800853</c:v>
                  </c:pt>
                  <c:pt idx="30">
                    <c:v>15.439863989038233</c:v>
                  </c:pt>
                  <c:pt idx="31">
                    <c:v>73.314102326905669</c:v>
                  </c:pt>
                  <c:pt idx="32">
                    <c:v>33.927726124808501</c:v>
                  </c:pt>
                  <c:pt idx="33">
                    <c:v>52.6265997381552</c:v>
                  </c:pt>
                  <c:pt idx="34">
                    <c:v>34.592955930362464</c:v>
                  </c:pt>
                  <c:pt idx="35">
                    <c:v>105.00077809235511</c:v>
                  </c:pt>
                  <c:pt idx="36">
                    <c:v>130.82757125315757</c:v>
                  </c:pt>
                  <c:pt idx="37">
                    <c:v>41.064353289819955</c:v>
                  </c:pt>
                  <c:pt idx="38">
                    <c:v>30.361268089459056</c:v>
                  </c:pt>
                  <c:pt idx="39">
                    <c:v>84.861740495938434</c:v>
                  </c:pt>
                  <c:pt idx="40">
                    <c:v>105.60611535323135</c:v>
                  </c:pt>
                  <c:pt idx="41">
                    <c:v>95.469086095971292</c:v>
                  </c:pt>
                  <c:pt idx="42">
                    <c:v>61.571717533296052</c:v>
                  </c:pt>
                  <c:pt idx="43">
                    <c:v>50.821288846309287</c:v>
                  </c:pt>
                  <c:pt idx="44">
                    <c:v>19.901897230989213</c:v>
                  </c:pt>
                  <c:pt idx="45">
                    <c:v>25.694863299889299</c:v>
                  </c:pt>
                </c:numCache>
              </c:numRef>
            </c:plus>
            <c:minus>
              <c:numRef>
                <c:f>Sheet1!$AW$2:$AW$47</c:f>
                <c:numCache>
                  <c:formatCode>General</c:formatCode>
                  <c:ptCount val="46"/>
                  <c:pt idx="0">
                    <c:v>8.7060553639406635</c:v>
                  </c:pt>
                  <c:pt idx="1">
                    <c:v>7.3427459691417143</c:v>
                  </c:pt>
                  <c:pt idx="2">
                    <c:v>5.6389715374348182</c:v>
                  </c:pt>
                  <c:pt idx="3">
                    <c:v>0.98762341001012366</c:v>
                  </c:pt>
                  <c:pt idx="4">
                    <c:v>5.1185349466424466</c:v>
                  </c:pt>
                  <c:pt idx="5">
                    <c:v>1.259126681474114</c:v>
                  </c:pt>
                  <c:pt idx="6">
                    <c:v>3.2415119928823315</c:v>
                  </c:pt>
                  <c:pt idx="7">
                    <c:v>1.6935250842205904</c:v>
                  </c:pt>
                  <c:pt idx="8">
                    <c:v>7.6793879964486749</c:v>
                  </c:pt>
                  <c:pt idx="9">
                    <c:v>9.7007937819541343</c:v>
                  </c:pt>
                  <c:pt idx="10">
                    <c:v>3.4534909873923221</c:v>
                  </c:pt>
                  <c:pt idx="11">
                    <c:v>2.5892083732291562</c:v>
                  </c:pt>
                  <c:pt idx="12">
                    <c:v>5.3014245293898465</c:v>
                  </c:pt>
                  <c:pt idx="13">
                    <c:v>8.8445237294045445</c:v>
                  </c:pt>
                  <c:pt idx="14">
                    <c:v>3.9200765298652023</c:v>
                  </c:pt>
                  <c:pt idx="15">
                    <c:v>14.981168178750277</c:v>
                  </c:pt>
                  <c:pt idx="16">
                    <c:v>2.880520786246823</c:v>
                  </c:pt>
                  <c:pt idx="17">
                    <c:v>12.516133588293151</c:v>
                  </c:pt>
                  <c:pt idx="18">
                    <c:v>5.1606782499977655</c:v>
                  </c:pt>
                  <c:pt idx="19">
                    <c:v>5.2302560387893591</c:v>
                  </c:pt>
                  <c:pt idx="20">
                    <c:v>11.807765806168973</c:v>
                  </c:pt>
                  <c:pt idx="21">
                    <c:v>14.311291389126625</c:v>
                  </c:pt>
                  <c:pt idx="22">
                    <c:v>8.744599098463997</c:v>
                  </c:pt>
                  <c:pt idx="23">
                    <c:v>6.6442241297019979</c:v>
                  </c:pt>
                  <c:pt idx="24">
                    <c:v>5.7258692118570487</c:v>
                  </c:pt>
                  <c:pt idx="25">
                    <c:v>10.598697134666171</c:v>
                  </c:pt>
                  <c:pt idx="26">
                    <c:v>3.7862382386743731</c:v>
                  </c:pt>
                  <c:pt idx="27">
                    <c:v>4.9889277405070107</c:v>
                  </c:pt>
                  <c:pt idx="28">
                    <c:v>5.0997450916687672</c:v>
                  </c:pt>
                  <c:pt idx="29">
                    <c:v>44.288842838800853</c:v>
                  </c:pt>
                  <c:pt idx="30">
                    <c:v>15.439863989038233</c:v>
                  </c:pt>
                  <c:pt idx="31">
                    <c:v>73.314102326905669</c:v>
                  </c:pt>
                  <c:pt idx="32">
                    <c:v>33.927726124808501</c:v>
                  </c:pt>
                  <c:pt idx="33">
                    <c:v>52.6265997381552</c:v>
                  </c:pt>
                  <c:pt idx="34">
                    <c:v>34.592955930362464</c:v>
                  </c:pt>
                  <c:pt idx="35">
                    <c:v>105.00077809235511</c:v>
                  </c:pt>
                  <c:pt idx="36">
                    <c:v>130.82757125315757</c:v>
                  </c:pt>
                  <c:pt idx="37">
                    <c:v>41.064353289819955</c:v>
                  </c:pt>
                  <c:pt idx="38">
                    <c:v>30.361268089459056</c:v>
                  </c:pt>
                  <c:pt idx="39">
                    <c:v>84.861740495938434</c:v>
                  </c:pt>
                  <c:pt idx="40">
                    <c:v>105.60611535323135</c:v>
                  </c:pt>
                  <c:pt idx="41">
                    <c:v>95.469086095971292</c:v>
                  </c:pt>
                  <c:pt idx="42">
                    <c:v>61.571717533296052</c:v>
                  </c:pt>
                  <c:pt idx="43">
                    <c:v>50.821288846309287</c:v>
                  </c:pt>
                  <c:pt idx="44">
                    <c:v>19.901897230989213</c:v>
                  </c:pt>
                  <c:pt idx="45">
                    <c:v>25.694863299889299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Sheet1!$AZ$2:$AZ$47</c:f>
              <c:numCache>
                <c:formatCode>0</c:formatCode>
                <c:ptCount val="46"/>
                <c:pt idx="0">
                  <c:v>294.68939209000001</c:v>
                </c:pt>
                <c:pt idx="1">
                  <c:v>284.71322631800001</c:v>
                </c:pt>
                <c:pt idx="2">
                  <c:v>303.63504028300002</c:v>
                </c:pt>
                <c:pt idx="3">
                  <c:v>316</c:v>
                </c:pt>
                <c:pt idx="4">
                  <c:v>343.36782836899999</c:v>
                </c:pt>
                <c:pt idx="5">
                  <c:v>377.78582763700001</c:v>
                </c:pt>
                <c:pt idx="6">
                  <c:v>396.48348999000001</c:v>
                </c:pt>
                <c:pt idx="7">
                  <c:v>436.990478516</c:v>
                </c:pt>
                <c:pt idx="8">
                  <c:v>459.41976928700001</c:v>
                </c:pt>
                <c:pt idx="9">
                  <c:v>506.78582763700001</c:v>
                </c:pt>
                <c:pt idx="10">
                  <c:v>584.31420898399995</c:v>
                </c:pt>
                <c:pt idx="11">
                  <c:v>613.12280273399995</c:v>
                </c:pt>
                <c:pt idx="12">
                  <c:v>670.68457031299999</c:v>
                </c:pt>
                <c:pt idx="13">
                  <c:v>698.42150878899997</c:v>
                </c:pt>
                <c:pt idx="14">
                  <c:v>759.40155029300001</c:v>
                </c:pt>
                <c:pt idx="15">
                  <c:v>821.85357666000004</c:v>
                </c:pt>
                <c:pt idx="16">
                  <c:v>887.72674560500002</c:v>
                </c:pt>
                <c:pt idx="17">
                  <c:v>915.71697998000002</c:v>
                </c:pt>
                <c:pt idx="18">
                  <c:v>954.46228027300003</c:v>
                </c:pt>
                <c:pt idx="19">
                  <c:v>995.80053710899995</c:v>
                </c:pt>
                <c:pt idx="20">
                  <c:v>1113.4626464800001</c:v>
                </c:pt>
                <c:pt idx="21">
                  <c:v>1159.1307373</c:v>
                </c:pt>
                <c:pt idx="22">
                  <c:v>1206.9226074200001</c:v>
                </c:pt>
                <c:pt idx="23">
                  <c:v>1289.3337402300001</c:v>
                </c:pt>
                <c:pt idx="24">
                  <c:v>1340.0395507799999</c:v>
                </c:pt>
                <c:pt idx="25">
                  <c:v>1441.8370361299999</c:v>
                </c:pt>
                <c:pt idx="26">
                  <c:v>1526.9757080100001</c:v>
                </c:pt>
                <c:pt idx="27">
                  <c:v>1577.5518798799999</c:v>
                </c:pt>
                <c:pt idx="28">
                  <c:v>1710.6140136700001</c:v>
                </c:pt>
                <c:pt idx="29">
                  <c:v>1759</c:v>
                </c:pt>
                <c:pt idx="30">
                  <c:v>1807.7528076200001</c:v>
                </c:pt>
                <c:pt idx="31">
                  <c:v>1902.74255371</c:v>
                </c:pt>
                <c:pt idx="32">
                  <c:v>2035.1241455100001</c:v>
                </c:pt>
                <c:pt idx="33">
                  <c:v>2122.2141113299999</c:v>
                </c:pt>
                <c:pt idx="34">
                  <c:v>2162.6936035200001</c:v>
                </c:pt>
                <c:pt idx="35">
                  <c:v>2176.1313476599998</c:v>
                </c:pt>
                <c:pt idx="36">
                  <c:v>2238.2409668</c:v>
                </c:pt>
                <c:pt idx="37">
                  <c:v>2310.1774902299999</c:v>
                </c:pt>
                <c:pt idx="38">
                  <c:v>2429.2712402299999</c:v>
                </c:pt>
                <c:pt idx="39">
                  <c:v>2585.2856445299999</c:v>
                </c:pt>
                <c:pt idx="40">
                  <c:v>2686.2336425799999</c:v>
                </c:pt>
                <c:pt idx="41">
                  <c:v>2818.2167968799999</c:v>
                </c:pt>
                <c:pt idx="42">
                  <c:v>2916.2229003900002</c:v>
                </c:pt>
                <c:pt idx="43">
                  <c:v>3018.20703125</c:v>
                </c:pt>
                <c:pt idx="44">
                  <c:v>3123.3532714799999</c:v>
                </c:pt>
                <c:pt idx="45">
                  <c:v>3237.9897460900002</c:v>
                </c:pt>
              </c:numCache>
            </c:numRef>
          </c:xVal>
          <c:yVal>
            <c:numRef>
              <c:f>Sheet1!$AT$2:$AT$47</c:f>
              <c:numCache>
                <c:formatCode>0.00</c:formatCode>
                <c:ptCount val="46"/>
                <c:pt idx="0">
                  <c:v>30.679999999999996</c:v>
                </c:pt>
                <c:pt idx="1">
                  <c:v>26.085714285714289</c:v>
                </c:pt>
                <c:pt idx="2">
                  <c:v>30.3</c:v>
                </c:pt>
                <c:pt idx="3">
                  <c:v>18.22</c:v>
                </c:pt>
                <c:pt idx="4">
                  <c:v>21.979999999999997</c:v>
                </c:pt>
                <c:pt idx="5">
                  <c:v>18.079999999999998</c:v>
                </c:pt>
                <c:pt idx="6">
                  <c:v>28.18</c:v>
                </c:pt>
                <c:pt idx="7">
                  <c:v>20.057142857142857</c:v>
                </c:pt>
                <c:pt idx="8">
                  <c:v>26.1</c:v>
                </c:pt>
                <c:pt idx="9">
                  <c:v>27.28</c:v>
                </c:pt>
                <c:pt idx="10">
                  <c:v>14.24</c:v>
                </c:pt>
                <c:pt idx="11">
                  <c:v>15.100000000000003</c:v>
                </c:pt>
                <c:pt idx="12">
                  <c:v>24.271428571428569</c:v>
                </c:pt>
                <c:pt idx="13">
                  <c:v>28.459999999999997</c:v>
                </c:pt>
                <c:pt idx="14">
                  <c:v>51.6</c:v>
                </c:pt>
                <c:pt idx="15">
                  <c:v>64.08</c:v>
                </c:pt>
                <c:pt idx="16">
                  <c:v>33.119999999999997</c:v>
                </c:pt>
                <c:pt idx="17">
                  <c:v>42.16</c:v>
                </c:pt>
                <c:pt idx="18">
                  <c:v>57.06</c:v>
                </c:pt>
                <c:pt idx="19">
                  <c:v>46.028571428571425</c:v>
                </c:pt>
                <c:pt idx="20">
                  <c:v>55.800000000000004</c:v>
                </c:pt>
                <c:pt idx="21">
                  <c:v>50.885714285714286</c:v>
                </c:pt>
                <c:pt idx="22">
                  <c:v>48.687499999999993</c:v>
                </c:pt>
                <c:pt idx="23">
                  <c:v>37.35</c:v>
                </c:pt>
                <c:pt idx="24">
                  <c:v>43.871428571428574</c:v>
                </c:pt>
                <c:pt idx="25">
                  <c:v>52.399999999999991</c:v>
                </c:pt>
                <c:pt idx="26">
                  <c:v>33.14</c:v>
                </c:pt>
                <c:pt idx="27">
                  <c:v>73.08</c:v>
                </c:pt>
                <c:pt idx="28">
                  <c:v>71.72</c:v>
                </c:pt>
                <c:pt idx="29">
                  <c:v>199.26</c:v>
                </c:pt>
                <c:pt idx="30">
                  <c:v>86.42</c:v>
                </c:pt>
                <c:pt idx="31">
                  <c:v>396.24</c:v>
                </c:pt>
                <c:pt idx="32">
                  <c:v>441.35999999999996</c:v>
                </c:pt>
                <c:pt idx="33">
                  <c:v>535.9</c:v>
                </c:pt>
                <c:pt idx="34">
                  <c:v>311.34000000000003</c:v>
                </c:pt>
                <c:pt idx="35">
                  <c:v>404.68</c:v>
                </c:pt>
                <c:pt idx="36">
                  <c:v>729.81999999999994</c:v>
                </c:pt>
                <c:pt idx="37">
                  <c:v>526.13333333333333</c:v>
                </c:pt>
                <c:pt idx="38">
                  <c:v>357.86</c:v>
                </c:pt>
                <c:pt idx="39">
                  <c:v>395.6</c:v>
                </c:pt>
                <c:pt idx="40">
                  <c:v>567.66000000000008</c:v>
                </c:pt>
                <c:pt idx="41">
                  <c:v>517.32000000000005</c:v>
                </c:pt>
                <c:pt idx="42">
                  <c:v>476.48</c:v>
                </c:pt>
                <c:pt idx="43">
                  <c:v>200.51999999999998</c:v>
                </c:pt>
                <c:pt idx="44">
                  <c:v>226.48750000000001</c:v>
                </c:pt>
                <c:pt idx="45">
                  <c:v>223.3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3B-5443-9199-53E978016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365055"/>
        <c:axId val="694481631"/>
      </c:scatterChart>
      <c:valAx>
        <c:axId val="1541589663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18644959"/>
        <c:crosses val="autoZero"/>
        <c:crossBetween val="midCat"/>
        <c:majorUnit val="750"/>
      </c:valAx>
      <c:valAx>
        <c:axId val="1418644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Total Soil Mn (</a:t>
                </a:r>
                <a:r>
                  <a:rPr lang="en-US" sz="1200" b="0" i="0" u="none" strike="noStrike" kern="1200" baseline="0" dirty="0">
                    <a:solidFill>
                      <a:prstClr val="black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µg g</a:t>
                </a:r>
                <a:r>
                  <a:rPr lang="en-US" sz="1200" b="0" i="0" u="none" strike="noStrike" kern="1200" baseline="30000" dirty="0">
                    <a:solidFill>
                      <a:prstClr val="black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-1</a:t>
                </a:r>
                <a:r>
                  <a:rPr lang="en-US" sz="1200" b="0" i="0" u="none" strike="noStrike" kern="1200" baseline="0" dirty="0">
                    <a:solidFill>
                      <a:prstClr val="black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dry soil)</a:t>
                </a: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541589663"/>
        <c:crosses val="autoZero"/>
        <c:crossBetween val="midCat"/>
      </c:valAx>
      <c:valAx>
        <c:axId val="6944816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/>
                  <a:t>Pyrophophate-extractable</a:t>
                </a:r>
                <a:r>
                  <a:rPr lang="en-US" baseline="0"/>
                  <a:t> and Grass Mn (µg g-1)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3618333333333337"/>
              <c:y val="2.026877295564263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79365055"/>
        <c:crosses val="max"/>
        <c:crossBetween val="midCat"/>
      </c:valAx>
      <c:valAx>
        <c:axId val="147936505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694481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48</xdr:row>
      <xdr:rowOff>19050</xdr:rowOff>
    </xdr:from>
    <xdr:to>
      <xdr:col>11</xdr:col>
      <xdr:colOff>0</xdr:colOff>
      <xdr:row>76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2C4DD1-A48E-8228-BC53-D9B434951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25400</xdr:colOff>
      <xdr:row>49</xdr:row>
      <xdr:rowOff>6350</xdr:rowOff>
    </xdr:from>
    <xdr:to>
      <xdr:col>53</xdr:col>
      <xdr:colOff>127000</xdr:colOff>
      <xdr:row>69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B7514A-27F7-5B34-7555-A4B551E56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0CC78-FFC0-3A43-A720-2194ECB4FC5C}" name="Table2" displayName="Table2" ref="AA2:AI48" totalsRowShown="0">
  <autoFilter ref="AA2:AI48" xr:uid="{2700CC78-FFC0-3A43-A720-2194ECB4FC5C}"/>
  <tableColumns count="9">
    <tableColumn id="1" xr3:uid="{03B8D4CC-1F2F-7943-99E6-BE1B1720FE2E}" name="MAP (mm/yr)"/>
    <tableColumn id="2" xr3:uid="{9F36739D-6AE6-1A47-84FF-9E19BA45ED73}" name="Avg Mn"/>
    <tableColumn id="3" xr3:uid="{BD1A517F-E8F2-D94C-B3CC-D89A6D71F109}" name="Mn SD"/>
    <tableColumn id="4" xr3:uid="{924F774E-7B22-9E43-98E9-C12286B9848B}" name="Count"/>
    <tableColumn id="5" xr3:uid="{8D8E5BF9-B654-3B47-BC77-48FDD3A93993}" name="SEM"/>
    <tableColumn id="6" xr3:uid="{669E4A44-55A3-194A-985E-874F5170288B}" name="upper SEM"/>
    <tableColumn id="7" xr3:uid="{47CF26A7-CBE9-DD43-8AF7-14B7A3EF2BAA}" name="lower SEM"/>
    <tableColumn id="9" xr3:uid="{86257D68-8499-694C-BDCC-40725C76B006}" name="Column2"/>
    <tableColumn id="8" xr3:uid="{3351D17A-2B02-1E46-8E6A-0090F41FD316}" name="Column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2CE4D5-505C-8A42-9359-252AEBB7A517}" name="Table14" displayName="Table14" ref="AJ1:AQ47" totalsRowShown="0">
  <autoFilter ref="AJ1:AQ47" xr:uid="{AA2CE4D5-505C-8A42-9359-252AEBB7A517}"/>
  <sortState xmlns:xlrd2="http://schemas.microsoft.com/office/spreadsheetml/2017/richdata2" ref="AJ2:AQ47">
    <sortCondition descending="1" ref="AP1:AP47"/>
  </sortState>
  <tableColumns count="8">
    <tableColumn id="1" xr3:uid="{24866613-223D-EC42-8364-E5378A2643CE}" name="NaPP-DIW Avg (ug/g soil)"/>
    <tableColumn id="2" xr3:uid="{61D7E048-A3EB-C448-AE2A-A784A5681CEE}" name="SD"/>
    <tableColumn id="3" xr3:uid="{DE6F9888-FCB2-D54F-8082-215C7EBCB5A6}" name="Count"/>
    <tableColumn id="4" xr3:uid="{98F548B3-763F-9243-A0C4-1415A201E8CA}" name="SEM"/>
    <tableColumn id="5" xr3:uid="{F61C168F-DBE2-204F-9FC2-04426E384C2A}" name="SEM upper"/>
    <tableColumn id="6" xr3:uid="{429ABE4F-A951-1743-A609-F571D989B2ED}" name="SEM lower"/>
    <tableColumn id="7" xr3:uid="{63D6C277-C72A-5147-BAAB-0B38BDAFA700}" name="Site"/>
    <tableColumn id="8" xr3:uid="{786D93E5-A478-6143-A5BA-702F5462B0B9}" name="MAP (mm/yr)" dataDxfId="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35288F-4500-9140-A084-72A96A3B579A}" name="Table15" displayName="Table15" ref="AS1:AZ47" totalsRowShown="0" headerRowDxfId="25" dataDxfId="24">
  <autoFilter ref="AS1:AZ47" xr:uid="{0A35288F-4500-9140-A084-72A96A3B579A}"/>
  <sortState xmlns:xlrd2="http://schemas.microsoft.com/office/spreadsheetml/2017/richdata2" ref="AS2:AZ47">
    <sortCondition descending="1" ref="AS1:AS47"/>
  </sortState>
  <tableColumns count="8">
    <tableColumn id="1" xr3:uid="{6983C6D9-34E5-4F43-83A4-678EDD4AD5E6}" name="Puanui Site" dataDxfId="23"/>
    <tableColumn id="2" xr3:uid="{3E000062-5D45-8E44-A168-5D50B8EB440C}" name="Avg Grass Mn µg/g" dataDxfId="22"/>
    <tableColumn id="3" xr3:uid="{901FBA05-7797-FE46-A6A7-747825A0AB07}" name="SD" dataDxfId="21"/>
    <tableColumn id="4" xr3:uid="{AFED89A9-EE15-974F-BD14-749B6E584140}" name="Count" dataDxfId="20"/>
    <tableColumn id="5" xr3:uid="{E830CC3E-14D4-CB44-B827-D10F8822853B}" name="SEM" dataDxfId="19"/>
    <tableColumn id="6" xr3:uid="{9060C331-2629-F348-A4FD-68A25F86DD05}" name="SEM upper" dataDxfId="18"/>
    <tableColumn id="7" xr3:uid="{D22D7479-DE56-FB4E-9BAB-2A11E1F5E7D3}" name="SEM lower" dataDxfId="17"/>
    <tableColumn id="8" xr3:uid="{FE3220C8-BC4F-2543-92A2-86BE4C8746B0}" name="MAP (mm)" dataDxfId="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C62BA8-DBC6-D345-87C7-7AE9F603963E}" name="Table26" displayName="Table26" ref="BB1:BI47" totalsRowShown="0">
  <autoFilter ref="BB1:BI47" xr:uid="{18C62BA8-DBC6-D345-87C7-7AE9F603963E}"/>
  <sortState xmlns:xlrd2="http://schemas.microsoft.com/office/spreadsheetml/2017/richdata2" ref="BB2:BI47">
    <sortCondition descending="1" ref="BH1:BH47"/>
  </sortState>
  <tableColumns count="8">
    <tableColumn id="1" xr3:uid="{222AE094-F60A-D142-8FE2-D8538179CD3B}" name="Avg Soil Mn µg/g" dataDxfId="15"/>
    <tableColumn id="2" xr3:uid="{0E33E8B5-E725-7A4C-B6B3-927A0FD454AB}" name="SD" dataDxfId="14"/>
    <tableColumn id="3" xr3:uid="{E63C7791-B514-EB48-B1AA-99CB698CE639}" name="Count" dataDxfId="13"/>
    <tableColumn id="4" xr3:uid="{CF1ED06A-778B-1C44-B179-7B00920FAA43}" name="SEM" dataDxfId="12"/>
    <tableColumn id="5" xr3:uid="{9C198776-F961-2E42-BCF2-1DD2821600DF}" name="SEM upper" dataDxfId="11"/>
    <tableColumn id="6" xr3:uid="{FF7ACB79-A7F8-4A4D-ADF2-2C57D12E7A6C}" name="SEM lower" dataDxfId="10"/>
    <tableColumn id="7" xr3:uid="{6F6B234D-EB84-3E48-92DA-590FB3733F8B}" name="Site"/>
    <tableColumn id="8" xr3:uid="{2AFDD9D7-7B28-1348-9CFB-2072E3AA8C04}" name="MAP" dataDxfId="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FECFC5-03A6-204D-A606-34326EA9F37C}" name="Table27" displayName="Table27" ref="K1:W47" totalsRowShown="0">
  <autoFilter ref="K1:W47" xr:uid="{C4FECFC5-03A6-204D-A606-34326EA9F37C}"/>
  <tableColumns count="13">
    <tableColumn id="1" xr3:uid="{7B4B33D1-8CFC-3D40-9983-EB48EE5949AC}" name="Puanui Site"/>
    <tableColumn id="6" xr3:uid="{3F3A116C-6EBF-2A43-8F3E-12A37450553C}" name="MAP (mm)" dataDxfId="8"/>
    <tableColumn id="2" xr3:uid="{AFF18D27-F465-CB41-B08D-94DF051CEE01}" name="2018 GWC"/>
    <tableColumn id="3" xr3:uid="{DD6B7F08-0C4B-014E-888E-077049268D02}" name="2019 GWC"/>
    <tableColumn id="4" xr3:uid="{D5518AA7-E5F5-B746-AF50-D6277D79D322}" name="Avg 2021 GWC"/>
    <tableColumn id="5" xr3:uid="{AC643DD3-11C9-0043-A364-8740BEB473C3}" name="Overall Avg GWC" dataDxfId="7">
      <calculatedColumnFormula>AVERAGE(M2:O2)</calculatedColumnFormula>
    </tableColumn>
    <tableColumn id="13" xr3:uid="{A9B24713-3450-8C4E-81AD-69D46C3BA84B}" name="2018 GWC (%)" dataDxfId="6">
      <calculatedColumnFormula>Table27[[#This Row],[2018 GWC]]*100</calculatedColumnFormula>
    </tableColumn>
    <tableColumn id="12" xr3:uid="{607E577B-2748-E54E-A42F-88D9764B2BD4}" name="2019 GWC (%)" dataDxfId="5">
      <calculatedColumnFormula>Table27[[#This Row],[2019 GWC]]*100</calculatedColumnFormula>
    </tableColumn>
    <tableColumn id="11" xr3:uid="{268A259B-2858-534C-A60D-8C7380B1F888}" name="Avg 2021 GWC (%)" dataDxfId="4">
      <calculatedColumnFormula>Table27[[#This Row],[Avg 2021 GWC]]*100</calculatedColumnFormula>
    </tableColumn>
    <tableColumn id="10" xr3:uid="{5A54BC89-615C-F948-977E-3266D0672692}" name="Overall Avg GWC (%)" dataDxfId="3">
      <calculatedColumnFormula>AVERAGE(Table27[[#This Row],[2018 GWC (%)]:[Avg 2021 GWC (%)]])</calculatedColumnFormula>
    </tableColumn>
    <tableColumn id="7" xr3:uid="{941751B3-17F9-D242-B7DE-3E73AD89891B}" name="SD" dataDxfId="2">
      <calculatedColumnFormula>_xlfn.STDEV.S(Table27[[#This Row],[2018 GWC (%)]:[Avg 2021 GWC (%)]])</calculatedColumnFormula>
    </tableColumn>
    <tableColumn id="8" xr3:uid="{95DA6E9C-A45C-2D42-94C0-9EE7794A709F}" name="Count" dataDxfId="1">
      <calculatedColumnFormula>COUNT(Table27[[#This Row],[2018 GWC (%)]:[Avg 2021 GWC (%)]])</calculatedColumnFormula>
    </tableColumn>
    <tableColumn id="9" xr3:uid="{DEE12305-271A-A849-A374-2DB20322B2E4}" name="SEM" dataDxfId="0">
      <calculatedColumnFormula>Table27[[#This Row],[SD]]/SQRT(Table27[[#This Row],[Count]])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A114-B3D5-3D40-A39B-0D9EEE05CF8B}">
  <dimension ref="A1:BJ218"/>
  <sheetViews>
    <sheetView tabSelected="1" topLeftCell="AP26" workbookViewId="0">
      <selection activeCell="AR10" sqref="AR10"/>
    </sheetView>
  </sheetViews>
  <sheetFormatPr baseColWidth="10" defaultRowHeight="16" x14ac:dyDescent="0.2"/>
  <cols>
    <col min="11" max="12" width="10.83203125" style="8"/>
    <col min="13" max="15" width="19.1640625" style="8" customWidth="1"/>
    <col min="16" max="19" width="18.1640625" style="8" customWidth="1"/>
    <col min="20" max="20" width="21" style="8" customWidth="1"/>
    <col min="22" max="22" width="10.83203125" style="8"/>
    <col min="27" max="27" width="11.6640625" customWidth="1"/>
    <col min="28" max="28" width="13.83203125" customWidth="1"/>
    <col min="33" max="34" width="12" customWidth="1"/>
    <col min="35" max="35" width="11.83203125" customWidth="1"/>
    <col min="36" max="36" width="14.33203125" customWidth="1"/>
    <col min="37" max="37" width="24.5" customWidth="1"/>
    <col min="41" max="42" width="12.33203125" customWidth="1"/>
    <col min="44" max="44" width="14.83203125" customWidth="1"/>
    <col min="46" max="46" width="12.6640625" customWidth="1"/>
    <col min="47" max="47" width="15.83203125" style="7" customWidth="1"/>
    <col min="48" max="48" width="11.33203125" style="7" customWidth="1"/>
    <col min="49" max="50" width="10.83203125" style="7"/>
    <col min="51" max="52" width="12.33203125" style="7" customWidth="1"/>
    <col min="53" max="53" width="12.5" style="6" customWidth="1"/>
    <col min="55" max="55" width="14.1640625" style="7" customWidth="1"/>
    <col min="56" max="56" width="11.6640625" style="7" customWidth="1"/>
    <col min="57" max="57" width="9.33203125" style="7" customWidth="1"/>
    <col min="58" max="58" width="11.6640625" style="7" customWidth="1"/>
    <col min="59" max="60" width="12.33203125" style="7" customWidth="1"/>
    <col min="61" max="61" width="8.83203125" customWidth="1"/>
    <col min="62" max="62" width="10.83203125" style="6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/>
      <c r="K1" t="s">
        <v>64</v>
      </c>
      <c r="L1" t="s">
        <v>6</v>
      </c>
      <c r="M1" t="s">
        <v>69</v>
      </c>
      <c r="N1" t="s">
        <v>70</v>
      </c>
      <c r="O1" t="s">
        <v>71</v>
      </c>
      <c r="P1" s="11" t="s">
        <v>72</v>
      </c>
      <c r="Q1" t="s">
        <v>76</v>
      </c>
      <c r="R1" t="s">
        <v>77</v>
      </c>
      <c r="S1" t="s">
        <v>78</v>
      </c>
      <c r="T1" s="11" t="s">
        <v>79</v>
      </c>
      <c r="U1" t="s">
        <v>1</v>
      </c>
      <c r="V1" t="s">
        <v>2</v>
      </c>
      <c r="W1" t="s">
        <v>3</v>
      </c>
      <c r="Z1" t="s">
        <v>62</v>
      </c>
      <c r="AD1" t="s">
        <v>9</v>
      </c>
      <c r="AJ1" t="s">
        <v>63</v>
      </c>
      <c r="AK1" t="s">
        <v>1</v>
      </c>
      <c r="AL1" t="s">
        <v>2</v>
      </c>
      <c r="AM1" t="s">
        <v>3</v>
      </c>
      <c r="AN1" t="s">
        <v>4</v>
      </c>
      <c r="AO1" t="s">
        <v>5</v>
      </c>
      <c r="AP1" t="s">
        <v>7</v>
      </c>
      <c r="AQ1" t="s">
        <v>11</v>
      </c>
      <c r="AS1" t="s">
        <v>64</v>
      </c>
      <c r="AT1" s="7" t="s">
        <v>65</v>
      </c>
      <c r="AU1" s="7" t="s">
        <v>1</v>
      </c>
      <c r="AV1" s="10" t="s">
        <v>2</v>
      </c>
      <c r="AW1" s="10" t="s">
        <v>3</v>
      </c>
      <c r="AX1" s="10" t="s">
        <v>4</v>
      </c>
      <c r="AY1" s="10" t="s">
        <v>5</v>
      </c>
      <c r="AZ1" s="6" t="s">
        <v>6</v>
      </c>
      <c r="BA1"/>
      <c r="BB1" s="7" t="s">
        <v>66</v>
      </c>
      <c r="BC1" s="7" t="s">
        <v>1</v>
      </c>
      <c r="BD1" s="7" t="s">
        <v>2</v>
      </c>
      <c r="BE1" s="7" t="s">
        <v>3</v>
      </c>
      <c r="BF1" s="7" t="s">
        <v>4</v>
      </c>
      <c r="BG1" s="7" t="s">
        <v>5</v>
      </c>
      <c r="BH1" t="s">
        <v>7</v>
      </c>
      <c r="BI1" s="6" t="s">
        <v>8</v>
      </c>
      <c r="BJ1"/>
    </row>
    <row r="2" spans="1:62" x14ac:dyDescent="0.2">
      <c r="A2" s="2">
        <v>6.3888889000000004</v>
      </c>
      <c r="B2" s="2">
        <v>0.14555129999999999</v>
      </c>
      <c r="C2" s="2">
        <v>6</v>
      </c>
      <c r="D2" s="2">
        <v>5.9421099999999998E-2</v>
      </c>
      <c r="E2" s="2">
        <v>6.4483099639999999</v>
      </c>
      <c r="F2" s="2">
        <v>6.329467814</v>
      </c>
      <c r="G2" s="3">
        <v>295</v>
      </c>
      <c r="H2" s="2">
        <v>46</v>
      </c>
      <c r="I2" s="2"/>
      <c r="K2" t="s">
        <v>60</v>
      </c>
      <c r="L2" s="6">
        <v>284.71322631800001</v>
      </c>
      <c r="M2">
        <v>0.13026521060842433</v>
      </c>
      <c r="N2">
        <v>8.1848236687453432E-2</v>
      </c>
      <c r="O2">
        <v>2.9180323310557237E-2</v>
      </c>
      <c r="P2" s="11">
        <f t="shared" ref="P2:P47" si="0">AVERAGE(M2:O2)</f>
        <v>8.0431256868811668E-2</v>
      </c>
      <c r="Q2" s="11">
        <f>Table27[[#This Row],[2018 GWC]]*100</f>
        <v>13.026521060842434</v>
      </c>
      <c r="R2" s="11">
        <f>Table27[[#This Row],[2019 GWC]]*100</f>
        <v>8.1848236687453433</v>
      </c>
      <c r="S2" s="11">
        <f>Table27[[#This Row],[Avg 2021 GWC]]*100</f>
        <v>2.9180323310557239</v>
      </c>
      <c r="T2" s="11">
        <f>AVERAGE(Table27[[#This Row],[2018 GWC (%)]:[Avg 2021 GWC (%)]])</f>
        <v>8.0431256868811669</v>
      </c>
      <c r="U2">
        <f>_xlfn.STDEV.S(Table27[[#This Row],[2018 GWC (%)]:[Avg 2021 GWC (%)]])</f>
        <v>5.0557338575724602</v>
      </c>
      <c r="V2">
        <f>COUNT(Table27[[#This Row],[2018 GWC (%)]:[Avg 2021 GWC (%)]])</f>
        <v>3</v>
      </c>
      <c r="W2">
        <f>Table27[[#This Row],[SD]]/SQRT(Table27[[#This Row],[Count]])</f>
        <v>2.918929303620565</v>
      </c>
      <c r="Z2" t="s">
        <v>10</v>
      </c>
      <c r="AA2" t="s">
        <v>11</v>
      </c>
      <c r="AB2" t="s">
        <v>12</v>
      </c>
      <c r="AC2" t="s">
        <v>13</v>
      </c>
      <c r="AD2" t="s">
        <v>2</v>
      </c>
      <c r="AE2" t="s">
        <v>3</v>
      </c>
      <c r="AF2" t="s">
        <v>14</v>
      </c>
      <c r="AG2" t="s">
        <v>15</v>
      </c>
      <c r="AH2" t="s">
        <v>68</v>
      </c>
      <c r="AI2" t="s">
        <v>67</v>
      </c>
      <c r="AJ2">
        <v>16.380628340884936</v>
      </c>
      <c r="AK2">
        <v>0.14103156332607117</v>
      </c>
      <c r="AL2">
        <v>3</v>
      </c>
      <c r="AM2">
        <v>8.142461105054094E-2</v>
      </c>
      <c r="AN2">
        <v>16.462052951935476</v>
      </c>
      <c r="AO2">
        <v>16.299203729834396</v>
      </c>
      <c r="AP2">
        <v>46</v>
      </c>
      <c r="AQ2" s="6">
        <v>294.68939209000001</v>
      </c>
      <c r="AS2">
        <v>46</v>
      </c>
      <c r="AT2" s="7">
        <v>30.679999999999996</v>
      </c>
      <c r="AU2" s="7">
        <v>19.467331609647996</v>
      </c>
      <c r="AV2" s="7">
        <v>5</v>
      </c>
      <c r="AW2" s="7">
        <v>8.7060553639406635</v>
      </c>
      <c r="AX2" s="7">
        <v>39.386055363940656</v>
      </c>
      <c r="AY2" s="7">
        <v>21.973944636059333</v>
      </c>
      <c r="AZ2" s="6">
        <v>294.68939209000001</v>
      </c>
      <c r="BA2"/>
      <c r="BB2" s="7">
        <v>2431</v>
      </c>
      <c r="BC2" s="7">
        <v>147.71255870778219</v>
      </c>
      <c r="BD2" s="7">
        <v>3</v>
      </c>
      <c r="BE2" s="7">
        <v>85.281885532626447</v>
      </c>
      <c r="BF2" s="7">
        <v>2516.2818855326263</v>
      </c>
      <c r="BG2" s="7">
        <v>2345.7181144673737</v>
      </c>
      <c r="BH2">
        <v>46</v>
      </c>
      <c r="BI2" s="6">
        <v>294.68939209000001</v>
      </c>
      <c r="BJ2"/>
    </row>
    <row r="3" spans="1:62" x14ac:dyDescent="0.2">
      <c r="A3" s="4">
        <v>6.3777777999999996</v>
      </c>
      <c r="B3" s="4">
        <v>0.1128749</v>
      </c>
      <c r="C3" s="4">
        <v>6</v>
      </c>
      <c r="D3" s="4">
        <v>4.6080999999999997E-2</v>
      </c>
      <c r="E3" s="4">
        <v>6.4238587589999998</v>
      </c>
      <c r="F3" s="4">
        <v>6.3316967970000002</v>
      </c>
      <c r="G3" s="5">
        <v>285</v>
      </c>
      <c r="H3" s="4">
        <v>45</v>
      </c>
      <c r="I3" s="4"/>
      <c r="K3" t="s">
        <v>61</v>
      </c>
      <c r="L3" s="6">
        <v>294.68939209000001</v>
      </c>
      <c r="M3"/>
      <c r="N3">
        <v>0.11748269734380858</v>
      </c>
      <c r="O3">
        <v>4.8927651801435733E-2</v>
      </c>
      <c r="P3" s="11">
        <f t="shared" si="0"/>
        <v>8.3205174572622151E-2</v>
      </c>
      <c r="Q3" s="11"/>
      <c r="R3" s="11">
        <f>Table27[[#This Row],[2019 GWC]]*100</f>
        <v>11.748269734380857</v>
      </c>
      <c r="S3" s="11">
        <f>Table27[[#This Row],[Avg 2021 GWC]]*100</f>
        <v>4.8927651801435736</v>
      </c>
      <c r="T3" s="11">
        <f>AVERAGE(Table27[[#This Row],[2018 GWC (%)]:[Avg 2021 GWC (%)]])</f>
        <v>8.3205174572622163</v>
      </c>
      <c r="U3">
        <f>_xlfn.STDEV.S(Table27[[#This Row],[2018 GWC (%)]:[Avg 2021 GWC (%)]])</f>
        <v>4.8475737587564387</v>
      </c>
      <c r="V3">
        <f>COUNT(Table27[[#This Row],[2018 GWC (%)]:[Avg 2021 GWC (%)]])</f>
        <v>2</v>
      </c>
      <c r="W3">
        <f>Table27[[#This Row],[SD]]/SQRT(Table27[[#This Row],[Count]])</f>
        <v>3.4277522771186386</v>
      </c>
      <c r="Z3" t="s">
        <v>16</v>
      </c>
      <c r="AA3">
        <v>3237.9897460900002</v>
      </c>
      <c r="AB3">
        <v>8.6158587704133663E-2</v>
      </c>
      <c r="AC3">
        <v>1.416816154521666E-2</v>
      </c>
      <c r="AD3">
        <v>3</v>
      </c>
      <c r="AE3">
        <v>8.1799918820529439E-3</v>
      </c>
      <c r="AF3">
        <v>9.4338579586186605E-2</v>
      </c>
      <c r="AG3">
        <v>7.7978595822080721E-2</v>
      </c>
      <c r="AJ3">
        <v>12.373138907811807</v>
      </c>
      <c r="AK3">
        <v>2.1100062777872391E-2</v>
      </c>
      <c r="AL3">
        <v>3</v>
      </c>
      <c r="AM3">
        <v>1.2182126924722628E-2</v>
      </c>
      <c r="AN3">
        <v>12.385321034736529</v>
      </c>
      <c r="AO3">
        <v>12.360956780887085</v>
      </c>
      <c r="AP3">
        <v>45</v>
      </c>
      <c r="AQ3" s="6">
        <v>284.71322631800001</v>
      </c>
      <c r="AS3">
        <v>45</v>
      </c>
      <c r="AT3" s="7">
        <v>26.085714285714289</v>
      </c>
      <c r="AU3" s="7">
        <v>19.427079774670929</v>
      </c>
      <c r="AV3" s="7">
        <v>7</v>
      </c>
      <c r="AW3" s="7">
        <v>7.3427459691417143</v>
      </c>
      <c r="AX3" s="7">
        <v>33.428460254856006</v>
      </c>
      <c r="AY3" s="7">
        <v>18.742968316572576</v>
      </c>
      <c r="AZ3" s="6">
        <v>284.71322631800001</v>
      </c>
      <c r="BA3"/>
      <c r="BB3" s="7">
        <v>2521</v>
      </c>
      <c r="BC3" s="7">
        <v>215.02557987365131</v>
      </c>
      <c r="BD3" s="7">
        <v>5</v>
      </c>
      <c r="BE3" s="7">
        <v>96.162362699758987</v>
      </c>
      <c r="BF3" s="7">
        <v>2617.1623626997589</v>
      </c>
      <c r="BG3" s="7">
        <v>2424.8376373002411</v>
      </c>
      <c r="BH3">
        <v>45</v>
      </c>
      <c r="BI3" s="6">
        <v>284.71322631800001</v>
      </c>
      <c r="BJ3"/>
    </row>
    <row r="4" spans="1:62" x14ac:dyDescent="0.2">
      <c r="A4" s="2">
        <v>6.1388889000000004</v>
      </c>
      <c r="B4" s="2">
        <v>0.1306678</v>
      </c>
      <c r="C4" s="2">
        <v>6</v>
      </c>
      <c r="D4" s="2">
        <v>5.3344900000000001E-2</v>
      </c>
      <c r="E4" s="2">
        <v>6.1922337949999999</v>
      </c>
      <c r="F4" s="2">
        <v>6.085543983</v>
      </c>
      <c r="G4" s="3">
        <v>304</v>
      </c>
      <c r="H4" s="2">
        <v>44</v>
      </c>
      <c r="I4" s="2"/>
      <c r="K4" t="s">
        <v>59</v>
      </c>
      <c r="L4" s="6">
        <v>303.63504028300002</v>
      </c>
      <c r="M4"/>
      <c r="N4">
        <v>0.14003044140030435</v>
      </c>
      <c r="O4">
        <v>2.755305248767596E-2</v>
      </c>
      <c r="P4" s="11">
        <f t="shared" si="0"/>
        <v>8.379174694399015E-2</v>
      </c>
      <c r="Q4" s="11"/>
      <c r="R4" s="11">
        <f>Table27[[#This Row],[2019 GWC]]*100</f>
        <v>14.003044140030434</v>
      </c>
      <c r="S4" s="11">
        <f>Table27[[#This Row],[Avg 2021 GWC]]*100</f>
        <v>2.7553052487675962</v>
      </c>
      <c r="T4" s="11">
        <f>AVERAGE(Table27[[#This Row],[2018 GWC (%)]:[Avg 2021 GWC (%)]])</f>
        <v>8.3791746943990155</v>
      </c>
      <c r="U4">
        <f>_xlfn.STDEV.S(Table27[[#This Row],[2018 GWC (%)]:[Avg 2021 GWC (%)]])</f>
        <v>7.9533524430276108</v>
      </c>
      <c r="V4">
        <f>COUNT(Table27[[#This Row],[2018 GWC (%)]:[Avg 2021 GWC (%)]])</f>
        <v>2</v>
      </c>
      <c r="W4">
        <f>Table27[[#This Row],[SD]]/SQRT(Table27[[#This Row],[Count]])</f>
        <v>5.623869445631418</v>
      </c>
      <c r="Z4" t="s">
        <v>17</v>
      </c>
      <c r="AA4">
        <v>3123.3532714799999</v>
      </c>
      <c r="AB4">
        <v>0.13325123623974369</v>
      </c>
      <c r="AC4">
        <v>2.722804993069864E-2</v>
      </c>
      <c r="AD4">
        <v>3</v>
      </c>
      <c r="AE4">
        <v>1.5720121956997433E-2</v>
      </c>
      <c r="AF4">
        <v>0.14897135819674112</v>
      </c>
      <c r="AG4">
        <v>0.11753111428274626</v>
      </c>
      <c r="AJ4">
        <v>10.879000744050265</v>
      </c>
      <c r="AK4">
        <v>3.4099291133438826E-2</v>
      </c>
      <c r="AL4">
        <v>3</v>
      </c>
      <c r="AM4">
        <v>1.9687234915066326E-2</v>
      </c>
      <c r="AN4">
        <v>10.898687978965331</v>
      </c>
      <c r="AO4">
        <v>10.859313509135198</v>
      </c>
      <c r="AP4">
        <v>44</v>
      </c>
      <c r="AQ4" s="6">
        <v>303.63504028300002</v>
      </c>
      <c r="AS4">
        <v>44</v>
      </c>
      <c r="AT4" s="7">
        <v>30.3</v>
      </c>
      <c r="AU4" s="7">
        <v>12.609123680890754</v>
      </c>
      <c r="AV4" s="7">
        <v>5</v>
      </c>
      <c r="AW4" s="7">
        <v>5.6389715374348182</v>
      </c>
      <c r="AX4" s="7">
        <v>35.938971537434817</v>
      </c>
      <c r="AY4" s="7">
        <v>24.661028462565184</v>
      </c>
      <c r="AZ4" s="6">
        <v>303.63504028300002</v>
      </c>
      <c r="BA4"/>
      <c r="BB4" s="7">
        <v>2719</v>
      </c>
      <c r="BC4" s="7">
        <v>62.601916903558156</v>
      </c>
      <c r="BD4" s="7">
        <v>3</v>
      </c>
      <c r="BE4" s="7">
        <v>36.143233576055884</v>
      </c>
      <c r="BF4" s="7">
        <v>2755.143233576056</v>
      </c>
      <c r="BG4" s="7">
        <v>2682.856766423944</v>
      </c>
      <c r="BH4">
        <v>44</v>
      </c>
      <c r="BI4" s="6">
        <v>303.63504028300002</v>
      </c>
      <c r="BJ4"/>
    </row>
    <row r="5" spans="1:62" x14ac:dyDescent="0.2">
      <c r="A5" s="4">
        <v>6.4</v>
      </c>
      <c r="B5" s="4">
        <v>3.65148E-2</v>
      </c>
      <c r="C5" s="4">
        <v>6</v>
      </c>
      <c r="D5" s="4">
        <v>1.49071E-2</v>
      </c>
      <c r="E5" s="4">
        <v>6.4149071199999996</v>
      </c>
      <c r="F5" s="4">
        <v>6.3850928800000002</v>
      </c>
      <c r="G5" s="5">
        <v>316</v>
      </c>
      <c r="H5" s="4">
        <v>43</v>
      </c>
      <c r="I5" s="4"/>
      <c r="K5" t="s">
        <v>58</v>
      </c>
      <c r="L5" s="6">
        <v>316</v>
      </c>
      <c r="M5"/>
      <c r="N5">
        <v>0.11903269781174712</v>
      </c>
      <c r="O5">
        <v>2.8749197963112819E-2</v>
      </c>
      <c r="P5" s="11">
        <f t="shared" si="0"/>
        <v>7.3890947887429975E-2</v>
      </c>
      <c r="Q5" s="11"/>
      <c r="R5" s="11">
        <f>Table27[[#This Row],[2019 GWC]]*100</f>
        <v>11.903269781174712</v>
      </c>
      <c r="S5" s="11">
        <f>Table27[[#This Row],[Avg 2021 GWC]]*100</f>
        <v>2.874919796311282</v>
      </c>
      <c r="T5" s="11">
        <f>AVERAGE(Table27[[#This Row],[2018 GWC (%)]:[Avg 2021 GWC (%)]])</f>
        <v>7.3890947887429972</v>
      </c>
      <c r="U5">
        <f>_xlfn.STDEV.S(Table27[[#This Row],[2018 GWC (%)]:[Avg 2021 GWC (%)]])</f>
        <v>6.3840074972223952</v>
      </c>
      <c r="V5">
        <f>COUNT(Table27[[#This Row],[2018 GWC (%)]:[Avg 2021 GWC (%)]])</f>
        <v>2</v>
      </c>
      <c r="W5">
        <f>Table27[[#This Row],[SD]]/SQRT(Table27[[#This Row],[Count]])</f>
        <v>4.5141749924317152</v>
      </c>
      <c r="Z5" t="s">
        <v>18</v>
      </c>
      <c r="AA5">
        <v>3018.20703125</v>
      </c>
      <c r="AB5">
        <v>4.6278759882788928E-2</v>
      </c>
      <c r="AC5">
        <v>6.2195382214583466E-3</v>
      </c>
      <c r="AD5">
        <v>3</v>
      </c>
      <c r="AE5">
        <v>3.5908520663941431E-3</v>
      </c>
      <c r="AF5">
        <v>4.9869611949183074E-2</v>
      </c>
      <c r="AG5">
        <v>4.2687907816394782E-2</v>
      </c>
      <c r="AJ5">
        <v>19.064316600059602</v>
      </c>
      <c r="AK5">
        <v>0.15996762810531551</v>
      </c>
      <c r="AL5">
        <v>3</v>
      </c>
      <c r="AM5">
        <v>9.2357353148229862E-2</v>
      </c>
      <c r="AN5">
        <v>19.156673953207832</v>
      </c>
      <c r="AO5">
        <v>18.971959246911371</v>
      </c>
      <c r="AP5">
        <v>43</v>
      </c>
      <c r="AQ5" s="6">
        <v>316</v>
      </c>
      <c r="AS5">
        <v>43</v>
      </c>
      <c r="AT5" s="7">
        <v>18.22</v>
      </c>
      <c r="AU5" s="7">
        <v>2.2083930809527827</v>
      </c>
      <c r="AV5" s="7">
        <v>5</v>
      </c>
      <c r="AW5" s="7">
        <v>0.98762341001012366</v>
      </c>
      <c r="AX5" s="7">
        <v>19.207623410010122</v>
      </c>
      <c r="AY5" s="7">
        <v>17.232376589989876</v>
      </c>
      <c r="AZ5" s="6">
        <v>316</v>
      </c>
      <c r="BA5"/>
      <c r="BB5" s="7">
        <v>2472.6666666666665</v>
      </c>
      <c r="BC5" s="7">
        <v>17.3877351409933</v>
      </c>
      <c r="BD5" s="7">
        <v>3</v>
      </c>
      <c r="BE5" s="7">
        <v>10.038813564250399</v>
      </c>
      <c r="BF5" s="7">
        <v>2482.7054802309167</v>
      </c>
      <c r="BG5" s="7">
        <v>2462.6278531024163</v>
      </c>
      <c r="BH5">
        <v>43</v>
      </c>
      <c r="BI5" s="6">
        <v>316</v>
      </c>
      <c r="BJ5"/>
    </row>
    <row r="6" spans="1:62" x14ac:dyDescent="0.2">
      <c r="A6" s="2">
        <v>6.5777777999999998</v>
      </c>
      <c r="B6" s="2">
        <v>0.12765689999999999</v>
      </c>
      <c r="C6" s="2">
        <v>6</v>
      </c>
      <c r="D6" s="2">
        <v>5.2115700000000001E-2</v>
      </c>
      <c r="E6" s="2">
        <v>6.6298935080000003</v>
      </c>
      <c r="F6" s="2">
        <v>6.525662047</v>
      </c>
      <c r="G6" s="3">
        <v>343</v>
      </c>
      <c r="H6" s="2">
        <v>42</v>
      </c>
      <c r="I6" s="2"/>
      <c r="K6" t="s">
        <v>57</v>
      </c>
      <c r="L6" s="6">
        <v>343.36782836899999</v>
      </c>
      <c r="M6"/>
      <c r="N6">
        <v>0.19170184938736171</v>
      </c>
      <c r="O6">
        <v>5.7947519325769602E-2</v>
      </c>
      <c r="P6" s="11">
        <f t="shared" si="0"/>
        <v>0.12482468435656566</v>
      </c>
      <c r="Q6" s="11"/>
      <c r="R6" s="11">
        <f>Table27[[#This Row],[2019 GWC]]*100</f>
        <v>19.17018493873617</v>
      </c>
      <c r="S6" s="11">
        <f>Table27[[#This Row],[Avg 2021 GWC]]*100</f>
        <v>5.7947519325769603</v>
      </c>
      <c r="T6" s="11">
        <f>AVERAGE(Table27[[#This Row],[2018 GWC (%)]:[Avg 2021 GWC (%)]])</f>
        <v>12.482468435656566</v>
      </c>
      <c r="U6">
        <f>_xlfn.STDEV.S(Table27[[#This Row],[2018 GWC (%)]:[Avg 2021 GWC (%)]])</f>
        <v>9.457859379961544</v>
      </c>
      <c r="V6">
        <f>COUNT(Table27[[#This Row],[2018 GWC (%)]:[Avg 2021 GWC (%)]])</f>
        <v>2</v>
      </c>
      <c r="W6">
        <f>Table27[[#This Row],[SD]]/SQRT(Table27[[#This Row],[Count]])</f>
        <v>6.6877165030796029</v>
      </c>
      <c r="Z6" t="s">
        <v>19</v>
      </c>
      <c r="AA6">
        <v>2916.2229003900002</v>
      </c>
      <c r="AB6">
        <v>7.1974636897477504E-2</v>
      </c>
      <c r="AC6">
        <v>7.8963017953884839E-3</v>
      </c>
      <c r="AD6">
        <v>3</v>
      </c>
      <c r="AE6">
        <v>4.5589319671700667E-3</v>
      </c>
      <c r="AF6">
        <v>7.6533568864647572E-2</v>
      </c>
      <c r="AG6">
        <v>6.7415704930307435E-2</v>
      </c>
      <c r="AJ6">
        <v>6.2761009153402938</v>
      </c>
      <c r="AK6">
        <v>2.9205502183959609E-2</v>
      </c>
      <c r="AL6">
        <v>3</v>
      </c>
      <c r="AM6">
        <v>1.6861804547727285E-2</v>
      </c>
      <c r="AN6">
        <v>6.2929627198880214</v>
      </c>
      <c r="AO6">
        <v>6.2592391107925662</v>
      </c>
      <c r="AP6">
        <v>42</v>
      </c>
      <c r="AQ6" s="6">
        <v>343.36782836899999</v>
      </c>
      <c r="AS6">
        <v>42</v>
      </c>
      <c r="AT6" s="7">
        <v>21.979999999999997</v>
      </c>
      <c r="AU6" s="7">
        <v>11.445392085900769</v>
      </c>
      <c r="AV6" s="7">
        <v>5</v>
      </c>
      <c r="AW6" s="7">
        <v>5.1185349466424466</v>
      </c>
      <c r="AX6" s="7">
        <v>27.098534946642445</v>
      </c>
      <c r="AY6" s="7">
        <v>16.861465053357549</v>
      </c>
      <c r="AZ6" s="6">
        <v>343.36782836899999</v>
      </c>
      <c r="BA6"/>
      <c r="BB6" s="7">
        <v>2449.3333333333335</v>
      </c>
      <c r="BC6" s="7">
        <v>6.5064070986477116</v>
      </c>
      <c r="BD6" s="7">
        <v>3</v>
      </c>
      <c r="BE6" s="7">
        <v>3.7564758898615485</v>
      </c>
      <c r="BF6" s="7">
        <v>2453.0898092231951</v>
      </c>
      <c r="BG6" s="7">
        <v>2445.5768574434719</v>
      </c>
      <c r="BH6">
        <v>42</v>
      </c>
      <c r="BI6" s="6">
        <v>343.36782836899999</v>
      </c>
      <c r="BJ6"/>
    </row>
    <row r="7" spans="1:62" x14ac:dyDescent="0.2">
      <c r="A7" s="4">
        <v>6.3888889000000004</v>
      </c>
      <c r="B7" s="4">
        <v>0.27052759999999998</v>
      </c>
      <c r="C7" s="4">
        <v>6</v>
      </c>
      <c r="D7" s="4">
        <v>0.1104424</v>
      </c>
      <c r="E7" s="4">
        <v>6.4993313209999997</v>
      </c>
      <c r="F7" s="4">
        <v>6.2784464570000003</v>
      </c>
      <c r="G7" s="5">
        <v>378</v>
      </c>
      <c r="H7" s="4">
        <v>41</v>
      </c>
      <c r="I7" s="4"/>
      <c r="K7" t="s">
        <v>56</v>
      </c>
      <c r="L7" s="6">
        <v>377.78582763700001</v>
      </c>
      <c r="M7"/>
      <c r="N7">
        <v>0.1272964143531683</v>
      </c>
      <c r="O7">
        <v>5.6150551781705811E-2</v>
      </c>
      <c r="P7" s="11">
        <f t="shared" si="0"/>
        <v>9.172348306743705E-2</v>
      </c>
      <c r="Q7" s="11"/>
      <c r="R7" s="11">
        <f>Table27[[#This Row],[2019 GWC]]*100</f>
        <v>12.729641435316829</v>
      </c>
      <c r="S7" s="11">
        <f>Table27[[#This Row],[Avg 2021 GWC]]*100</f>
        <v>5.6150551781705813</v>
      </c>
      <c r="T7" s="11">
        <f>AVERAGE(Table27[[#This Row],[2018 GWC (%)]:[Avg 2021 GWC (%)]])</f>
        <v>9.1723483067437055</v>
      </c>
      <c r="U7">
        <f>_xlfn.STDEV.S(Table27[[#This Row],[2018 GWC (%)]:[Avg 2021 GWC (%)]])</f>
        <v>5.0307721877647271</v>
      </c>
      <c r="V7">
        <f>COUNT(Table27[[#This Row],[2018 GWC (%)]:[Avg 2021 GWC (%)]])</f>
        <v>2</v>
      </c>
      <c r="W7">
        <f>Table27[[#This Row],[SD]]/SQRT(Table27[[#This Row],[Count]])</f>
        <v>3.5572931285731215</v>
      </c>
      <c r="Z7" t="s">
        <v>20</v>
      </c>
      <c r="AA7">
        <v>2818.2167968799999</v>
      </c>
      <c r="AB7">
        <v>0.20963245533924713</v>
      </c>
      <c r="AC7">
        <v>6.8422723675691161E-2</v>
      </c>
      <c r="AD7">
        <v>3</v>
      </c>
      <c r="AE7">
        <v>3.9503877932847674E-2</v>
      </c>
      <c r="AF7">
        <v>0.24913633327209481</v>
      </c>
      <c r="AG7">
        <v>0.17012857740639944</v>
      </c>
      <c r="AJ7">
        <v>30.840324257792719</v>
      </c>
      <c r="AK7">
        <v>7.3904805056092759E-2</v>
      </c>
      <c r="AL7">
        <v>3</v>
      </c>
      <c r="AM7">
        <v>4.2668959093541972E-2</v>
      </c>
      <c r="AN7">
        <v>30.882993216886263</v>
      </c>
      <c r="AO7">
        <v>30.797655298699176</v>
      </c>
      <c r="AP7">
        <v>41</v>
      </c>
      <c r="AQ7" s="6">
        <v>377.78582763700001</v>
      </c>
      <c r="AS7">
        <v>41</v>
      </c>
      <c r="AT7" s="7">
        <v>18.079999999999998</v>
      </c>
      <c r="AU7" s="7">
        <v>2.8154928520598443</v>
      </c>
      <c r="AV7" s="7">
        <v>5</v>
      </c>
      <c r="AW7" s="7">
        <v>1.259126681474114</v>
      </c>
      <c r="AX7" s="7">
        <v>19.339126681474113</v>
      </c>
      <c r="AY7" s="7">
        <v>16.820873318525884</v>
      </c>
      <c r="AZ7" s="6">
        <v>377.78582763700001</v>
      </c>
      <c r="BA7"/>
      <c r="BB7" s="7">
        <v>2330.3333333333335</v>
      </c>
      <c r="BC7" s="7">
        <v>27.135462651912409</v>
      </c>
      <c r="BD7" s="7">
        <v>3</v>
      </c>
      <c r="BE7" s="7">
        <v>15.666666666666666</v>
      </c>
      <c r="BF7" s="7">
        <v>2346</v>
      </c>
      <c r="BG7" s="7">
        <v>2314.666666666667</v>
      </c>
      <c r="BH7">
        <v>41</v>
      </c>
      <c r="BI7" s="6">
        <v>377.78582763700001</v>
      </c>
      <c r="BJ7"/>
    </row>
    <row r="8" spans="1:62" x14ac:dyDescent="0.2">
      <c r="A8" s="2">
        <v>5.9944443999999999</v>
      </c>
      <c r="B8" s="2">
        <v>0.13891110000000001</v>
      </c>
      <c r="C8" s="2">
        <v>6</v>
      </c>
      <c r="D8" s="2">
        <v>5.6710200000000002E-2</v>
      </c>
      <c r="E8" s="2">
        <v>6.0511546669999996</v>
      </c>
      <c r="F8" s="2">
        <v>5.9377342219999996</v>
      </c>
      <c r="G8" s="3">
        <v>396</v>
      </c>
      <c r="H8" s="2">
        <v>40</v>
      </c>
      <c r="I8" s="2"/>
      <c r="K8" t="s">
        <v>55</v>
      </c>
      <c r="L8" s="6">
        <v>396.48348999000001</v>
      </c>
      <c r="M8"/>
      <c r="N8">
        <v>0.14466995874031055</v>
      </c>
      <c r="O8">
        <v>4.6645025029910463E-2</v>
      </c>
      <c r="P8" s="11">
        <f t="shared" si="0"/>
        <v>9.565749188511051E-2</v>
      </c>
      <c r="Q8" s="11"/>
      <c r="R8" s="11">
        <f>Table27[[#This Row],[2019 GWC]]*100</f>
        <v>14.466995874031054</v>
      </c>
      <c r="S8" s="11">
        <f>Table27[[#This Row],[Avg 2021 GWC]]*100</f>
        <v>4.6645025029910459</v>
      </c>
      <c r="T8" s="11">
        <f>AVERAGE(Table27[[#This Row],[2018 GWC (%)]:[Avg 2021 GWC (%)]])</f>
        <v>9.5657491885110506</v>
      </c>
      <c r="U8">
        <f>_xlfn.STDEV.S(Table27[[#This Row],[2018 GWC (%)]:[Avg 2021 GWC (%)]])</f>
        <v>6.9314095351985676</v>
      </c>
      <c r="V8">
        <f>COUNT(Table27[[#This Row],[2018 GWC (%)]:[Avg 2021 GWC (%)]])</f>
        <v>2</v>
      </c>
      <c r="W8">
        <f>Table27[[#This Row],[SD]]/SQRT(Table27[[#This Row],[Count]])</f>
        <v>4.9012466855200021</v>
      </c>
      <c r="Z8" t="s">
        <v>21</v>
      </c>
      <c r="AA8">
        <v>2686.2336425799999</v>
      </c>
      <c r="AB8">
        <v>0.3945259258554123</v>
      </c>
      <c r="AC8">
        <v>4.3924869074956539E-2</v>
      </c>
      <c r="AD8">
        <v>3</v>
      </c>
      <c r="AE8">
        <v>2.5360034984545227E-2</v>
      </c>
      <c r="AF8">
        <v>0.41988596083995755</v>
      </c>
      <c r="AG8">
        <v>0.36916589087086704</v>
      </c>
      <c r="AJ8">
        <v>42.104627019462562</v>
      </c>
      <c r="AK8">
        <v>0.12947818472181818</v>
      </c>
      <c r="AL8">
        <v>3</v>
      </c>
      <c r="AM8">
        <v>7.4754264803325823E-2</v>
      </c>
      <c r="AN8">
        <v>42.179381284265887</v>
      </c>
      <c r="AO8">
        <v>42.029872754659237</v>
      </c>
      <c r="AP8">
        <v>40</v>
      </c>
      <c r="AQ8" s="6">
        <v>396.48348999000001</v>
      </c>
      <c r="AS8">
        <v>40</v>
      </c>
      <c r="AT8" s="7">
        <v>28.18</v>
      </c>
      <c r="AU8" s="7">
        <v>7.248241165965708</v>
      </c>
      <c r="AV8" s="7">
        <v>5</v>
      </c>
      <c r="AW8" s="7">
        <v>3.2415119928823315</v>
      </c>
      <c r="AX8" s="7">
        <v>31.42151199288233</v>
      </c>
      <c r="AY8" s="7">
        <v>24.93848800711767</v>
      </c>
      <c r="AZ8" s="6">
        <v>396.48348999000001</v>
      </c>
      <c r="BA8"/>
      <c r="BB8" s="7">
        <v>2677.3333333333335</v>
      </c>
      <c r="BC8" s="7">
        <v>47.035447625523176</v>
      </c>
      <c r="BD8" s="7">
        <v>3</v>
      </c>
      <c r="BE8" s="7">
        <v>27.155928348050352</v>
      </c>
      <c r="BF8" s="7">
        <v>2704.4892616813841</v>
      </c>
      <c r="BG8" s="7">
        <v>2650.1774049852829</v>
      </c>
      <c r="BH8">
        <v>40</v>
      </c>
      <c r="BI8" s="6">
        <v>396.48348999000001</v>
      </c>
      <c r="BJ8"/>
    </row>
    <row r="9" spans="1:62" x14ac:dyDescent="0.2">
      <c r="A9" s="4">
        <v>6.3055555999999999</v>
      </c>
      <c r="B9" s="4">
        <v>0.22648689999999999</v>
      </c>
      <c r="C9" s="4">
        <v>6</v>
      </c>
      <c r="D9" s="4">
        <v>9.2462900000000001E-2</v>
      </c>
      <c r="E9" s="4">
        <v>6.3980184280000003</v>
      </c>
      <c r="F9" s="4">
        <v>6.2130926830000002</v>
      </c>
      <c r="G9" s="5">
        <v>437</v>
      </c>
      <c r="H9" s="4">
        <v>39</v>
      </c>
      <c r="I9" s="4"/>
      <c r="K9" t="s">
        <v>54</v>
      </c>
      <c r="L9" s="6">
        <v>436.990478516</v>
      </c>
      <c r="M9"/>
      <c r="N9">
        <v>0.16030376149097744</v>
      </c>
      <c r="O9">
        <v>5.3443840051392875E-2</v>
      </c>
      <c r="P9" s="11">
        <f t="shared" si="0"/>
        <v>0.10687380077118516</v>
      </c>
      <c r="Q9" s="11"/>
      <c r="R9" s="11">
        <f>Table27[[#This Row],[2019 GWC]]*100</f>
        <v>16.030376149097744</v>
      </c>
      <c r="S9" s="11">
        <f>Table27[[#This Row],[Avg 2021 GWC]]*100</f>
        <v>5.3443840051392879</v>
      </c>
      <c r="T9" s="11">
        <f>AVERAGE(Table27[[#This Row],[2018 GWC (%)]:[Avg 2021 GWC (%)]])</f>
        <v>10.687380077118515</v>
      </c>
      <c r="U9">
        <f>_xlfn.STDEV.S(Table27[[#This Row],[2018 GWC (%)]:[Avg 2021 GWC (%)]])</f>
        <v>7.5561375086991989</v>
      </c>
      <c r="V9">
        <f>COUNT(Table27[[#This Row],[2018 GWC (%)]:[Avg 2021 GWC (%)]])</f>
        <v>2</v>
      </c>
      <c r="W9">
        <f>Table27[[#This Row],[SD]]/SQRT(Table27[[#This Row],[Count]])</f>
        <v>5.3429960719792282</v>
      </c>
      <c r="Z9" t="s">
        <v>22</v>
      </c>
      <c r="AA9">
        <v>2585.2856445299999</v>
      </c>
      <c r="AB9">
        <v>0.5475379836247759</v>
      </c>
      <c r="AC9">
        <v>1.813210086753014E-2</v>
      </c>
      <c r="AD9">
        <v>3</v>
      </c>
      <c r="AE9">
        <v>1.0468573316841973E-2</v>
      </c>
      <c r="AF9">
        <v>0.55800655694161783</v>
      </c>
      <c r="AG9">
        <v>0.53706941030793398</v>
      </c>
      <c r="AJ9">
        <v>12.414582529422583</v>
      </c>
      <c r="AK9">
        <v>2.0163567400720318E-2</v>
      </c>
      <c r="AL9">
        <v>3</v>
      </c>
      <c r="AM9">
        <v>1.164144106662904E-2</v>
      </c>
      <c r="AN9">
        <v>12.426223970489213</v>
      </c>
      <c r="AO9">
        <v>12.402941088355954</v>
      </c>
      <c r="AP9">
        <v>39</v>
      </c>
      <c r="AQ9" s="6">
        <v>436.990478516</v>
      </c>
      <c r="AS9">
        <v>39</v>
      </c>
      <c r="AT9" s="7">
        <v>20.057142857142857</v>
      </c>
      <c r="AU9" s="7">
        <v>4.4806462118973984</v>
      </c>
      <c r="AV9" s="7">
        <v>7</v>
      </c>
      <c r="AW9" s="7">
        <v>1.6935250842205904</v>
      </c>
      <c r="AX9" s="7">
        <v>21.750667941363446</v>
      </c>
      <c r="AY9" s="7">
        <v>18.363617772922268</v>
      </c>
      <c r="AZ9" s="6">
        <v>436.990478516</v>
      </c>
      <c r="BA9"/>
      <c r="BB9" s="7">
        <v>2423.3333333333335</v>
      </c>
      <c r="BC9" s="7">
        <v>37.233497463081996</v>
      </c>
      <c r="BD9" s="7">
        <v>3</v>
      </c>
      <c r="BE9" s="7">
        <v>21.496769783181641</v>
      </c>
      <c r="BF9" s="7">
        <v>2444.8301031165151</v>
      </c>
      <c r="BG9" s="7">
        <v>2401.8365635501518</v>
      </c>
      <c r="BH9">
        <v>39</v>
      </c>
      <c r="BI9" s="6">
        <v>436.990478516</v>
      </c>
      <c r="BJ9"/>
    </row>
    <row r="10" spans="1:62" x14ac:dyDescent="0.2">
      <c r="A10" s="2">
        <v>6.3222221999999997</v>
      </c>
      <c r="B10" s="2">
        <v>0.34555380000000002</v>
      </c>
      <c r="C10" s="2">
        <v>6</v>
      </c>
      <c r="D10" s="2">
        <v>0.14107169999999999</v>
      </c>
      <c r="E10" s="2">
        <v>6.4632939580000004</v>
      </c>
      <c r="F10" s="2">
        <v>6.181150487</v>
      </c>
      <c r="G10" s="3">
        <v>459</v>
      </c>
      <c r="H10" s="2">
        <v>38</v>
      </c>
      <c r="I10" s="2"/>
      <c r="K10" t="s">
        <v>53</v>
      </c>
      <c r="L10" s="6">
        <v>459.41976928700001</v>
      </c>
      <c r="M10"/>
      <c r="N10">
        <v>0.2270830205674825</v>
      </c>
      <c r="O10">
        <v>0.25238523304729371</v>
      </c>
      <c r="P10" s="11">
        <f t="shared" si="0"/>
        <v>0.23973412680738809</v>
      </c>
      <c r="Q10" s="11"/>
      <c r="R10" s="11">
        <f>Table27[[#This Row],[2019 GWC]]*100</f>
        <v>22.708302056748249</v>
      </c>
      <c r="S10" s="11">
        <f>Table27[[#This Row],[Avg 2021 GWC]]*100</f>
        <v>25.23852330472937</v>
      </c>
      <c r="T10" s="11">
        <f>AVERAGE(Table27[[#This Row],[2018 GWC (%)]:[Avg 2021 GWC (%)]])</f>
        <v>23.973412680738811</v>
      </c>
      <c r="U10">
        <f>_xlfn.STDEV.S(Table27[[#This Row],[2018 GWC (%)]:[Avg 2021 GWC (%)]])</f>
        <v>1.7891366023497397</v>
      </c>
      <c r="V10">
        <f>COUNT(Table27[[#This Row],[2018 GWC (%)]:[Avg 2021 GWC (%)]])</f>
        <v>2</v>
      </c>
      <c r="W10">
        <f>Table27[[#This Row],[SD]]/SQRT(Table27[[#This Row],[Count]])</f>
        <v>1.2651106239905603</v>
      </c>
      <c r="Z10" t="s">
        <v>23</v>
      </c>
      <c r="AA10">
        <v>2429.2712402299999</v>
      </c>
      <c r="AB10">
        <v>0.40836807972730077</v>
      </c>
      <c r="AC10">
        <v>5.5522632353759871E-2</v>
      </c>
      <c r="AD10">
        <v>3</v>
      </c>
      <c r="AE10">
        <v>3.2056006735559889E-2</v>
      </c>
      <c r="AF10">
        <v>0.44042408646286069</v>
      </c>
      <c r="AG10">
        <v>0.37631207299174085</v>
      </c>
      <c r="AJ10">
        <v>8.0373876657837453</v>
      </c>
      <c r="AK10">
        <v>6.8562823137583079E-2</v>
      </c>
      <c r="AL10">
        <v>3</v>
      </c>
      <c r="AM10">
        <v>3.9584764394884293E-2</v>
      </c>
      <c r="AN10">
        <v>8.0769724301786301</v>
      </c>
      <c r="AO10">
        <v>7.9978029013888614</v>
      </c>
      <c r="AP10">
        <v>38</v>
      </c>
      <c r="AQ10" s="6">
        <v>459.41976928700001</v>
      </c>
      <c r="AS10">
        <v>38</v>
      </c>
      <c r="AT10" s="7">
        <v>26.1</v>
      </c>
      <c r="AU10" s="7">
        <v>17.171633585655151</v>
      </c>
      <c r="AV10" s="7">
        <v>5</v>
      </c>
      <c r="AW10" s="7">
        <v>7.6793879964486749</v>
      </c>
      <c r="AX10" s="7">
        <v>33.779387996448676</v>
      </c>
      <c r="AY10" s="7">
        <v>18.420612003551327</v>
      </c>
      <c r="AZ10" s="6">
        <v>459.41976928700001</v>
      </c>
      <c r="BA10"/>
      <c r="BB10" s="7">
        <v>2305</v>
      </c>
      <c r="BC10" s="7">
        <v>19.974984355438178</v>
      </c>
      <c r="BD10" s="7">
        <v>3</v>
      </c>
      <c r="BE10" s="7">
        <v>11.532562594670797</v>
      </c>
      <c r="BF10" s="7">
        <v>2316.5325625946707</v>
      </c>
      <c r="BG10" s="7">
        <v>2293.4674374053293</v>
      </c>
      <c r="BH10">
        <v>38</v>
      </c>
      <c r="BI10" s="6">
        <v>459.41976928700001</v>
      </c>
      <c r="BJ10"/>
    </row>
    <row r="11" spans="1:62" x14ac:dyDescent="0.2">
      <c r="A11" s="4">
        <v>6.0222221999999999</v>
      </c>
      <c r="B11" s="4">
        <v>0.23726839999999999</v>
      </c>
      <c r="C11" s="4">
        <v>6</v>
      </c>
      <c r="D11" s="4">
        <v>9.6864400000000003E-2</v>
      </c>
      <c r="E11" s="4">
        <v>6.1190866430000002</v>
      </c>
      <c r="F11" s="4">
        <v>5.9253578009999996</v>
      </c>
      <c r="G11" s="5">
        <v>507</v>
      </c>
      <c r="H11" s="4">
        <v>37</v>
      </c>
      <c r="I11" s="4"/>
      <c r="K11" t="s">
        <v>52</v>
      </c>
      <c r="L11" s="6">
        <v>506.78582763700001</v>
      </c>
      <c r="M11"/>
      <c r="N11">
        <v>0.11328688374738478</v>
      </c>
      <c r="O11">
        <v>0.35820861463063286</v>
      </c>
      <c r="P11" s="11">
        <f t="shared" si="0"/>
        <v>0.23574774918900882</v>
      </c>
      <c r="Q11" s="11"/>
      <c r="R11" s="11">
        <f>Table27[[#This Row],[2019 GWC]]*100</f>
        <v>11.328688374738478</v>
      </c>
      <c r="S11" s="11">
        <f>Table27[[#This Row],[Avg 2021 GWC]]*100</f>
        <v>35.820861463063288</v>
      </c>
      <c r="T11" s="11">
        <f>AVERAGE(Table27[[#This Row],[2018 GWC (%)]:[Avg 2021 GWC (%)]])</f>
        <v>23.574774918900882</v>
      </c>
      <c r="U11">
        <f>_xlfn.STDEV.S(Table27[[#This Row],[2018 GWC (%)]:[Avg 2021 GWC (%)]])</f>
        <v>17.318581676749144</v>
      </c>
      <c r="V11">
        <f>COUNT(Table27[[#This Row],[2018 GWC (%)]:[Avg 2021 GWC (%)]])</f>
        <v>2</v>
      </c>
      <c r="W11">
        <f>Table27[[#This Row],[SD]]/SQRT(Table27[[#This Row],[Count]])</f>
        <v>12.246086544162408</v>
      </c>
      <c r="Z11" t="s">
        <v>24</v>
      </c>
      <c r="AA11">
        <v>2310.1774902299999</v>
      </c>
      <c r="AB11">
        <v>0.61289734995779965</v>
      </c>
      <c r="AC11">
        <v>5.8122897276812503E-2</v>
      </c>
      <c r="AD11">
        <v>3</v>
      </c>
      <c r="AE11">
        <v>3.3557270388848669E-2</v>
      </c>
      <c r="AF11">
        <v>0.64645462034664836</v>
      </c>
      <c r="AG11">
        <v>0.57934007956895095</v>
      </c>
      <c r="AJ11">
        <v>23.913355847758851</v>
      </c>
      <c r="AK11">
        <v>8.2885373398028428E-2</v>
      </c>
      <c r="AL11">
        <v>3</v>
      </c>
      <c r="AM11">
        <v>4.7853892643234364E-2</v>
      </c>
      <c r="AN11">
        <v>23.961209740402087</v>
      </c>
      <c r="AO11">
        <v>23.865501955115615</v>
      </c>
      <c r="AP11">
        <v>37</v>
      </c>
      <c r="AQ11" s="6">
        <v>506.78582763700001</v>
      </c>
      <c r="AS11">
        <v>37</v>
      </c>
      <c r="AT11" s="7">
        <v>27.28</v>
      </c>
      <c r="AU11" s="7">
        <v>21.691634332156717</v>
      </c>
      <c r="AV11" s="7">
        <v>5</v>
      </c>
      <c r="AW11" s="7">
        <v>9.7007937819541343</v>
      </c>
      <c r="AX11" s="7">
        <v>36.980793781954134</v>
      </c>
      <c r="AY11" s="7">
        <v>17.579206218045869</v>
      </c>
      <c r="AZ11" s="6">
        <v>506.78582763700001</v>
      </c>
      <c r="BA11"/>
      <c r="BB11" s="7">
        <v>2230</v>
      </c>
      <c r="BC11" s="7">
        <v>31.432467291003423</v>
      </c>
      <c r="BD11" s="7">
        <v>3</v>
      </c>
      <c r="BE11" s="7">
        <v>18.147543451754935</v>
      </c>
      <c r="BF11" s="7">
        <v>2248.1475434517552</v>
      </c>
      <c r="BG11" s="7">
        <v>2211.8524565482448</v>
      </c>
      <c r="BH11">
        <v>37</v>
      </c>
      <c r="BI11" s="6">
        <v>506.78582763700001</v>
      </c>
      <c r="BJ11"/>
    </row>
    <row r="12" spans="1:62" x14ac:dyDescent="0.2">
      <c r="A12" s="2">
        <v>6.4555556000000003</v>
      </c>
      <c r="B12" s="2">
        <v>7.5030899999999998E-2</v>
      </c>
      <c r="C12" s="2">
        <v>6</v>
      </c>
      <c r="D12" s="2">
        <v>3.0631200000000001E-2</v>
      </c>
      <c r="E12" s="2">
        <v>6.4861867750000002</v>
      </c>
      <c r="F12" s="2">
        <v>6.4249243360000001</v>
      </c>
      <c r="G12" s="3">
        <v>822</v>
      </c>
      <c r="H12" s="2">
        <v>36</v>
      </c>
      <c r="I12" s="2"/>
      <c r="K12" t="s">
        <v>46</v>
      </c>
      <c r="L12" s="6">
        <v>821.85357666000004</v>
      </c>
      <c r="M12">
        <v>8.3827265029635917E-2</v>
      </c>
      <c r="N12">
        <v>0.16753266407708212</v>
      </c>
      <c r="O12">
        <v>7.7039126030142555E-2</v>
      </c>
      <c r="P12" s="11">
        <f t="shared" si="0"/>
        <v>0.10946635171228686</v>
      </c>
      <c r="Q12" s="11">
        <f>Table27[[#This Row],[2018 GWC]]*100</f>
        <v>8.3827265029635925</v>
      </c>
      <c r="R12" s="11">
        <f>Table27[[#This Row],[2019 GWC]]*100</f>
        <v>16.75326640770821</v>
      </c>
      <c r="S12" s="11">
        <f>Table27[[#This Row],[Avg 2021 GWC]]*100</f>
        <v>7.7039126030142553</v>
      </c>
      <c r="T12" s="11">
        <f>AVERAGE(Table27[[#This Row],[2018 GWC (%)]:[Avg 2021 GWC (%)]])</f>
        <v>10.946635171228685</v>
      </c>
      <c r="U12">
        <f>_xlfn.STDEV.S(Table27[[#This Row],[2018 GWC (%)]:[Avg 2021 GWC (%)]])</f>
        <v>5.0401311307381587</v>
      </c>
      <c r="V12">
        <f>COUNT(Table27[[#This Row],[2018 GWC (%)]:[Avg 2021 GWC (%)]])</f>
        <v>3</v>
      </c>
      <c r="W12">
        <f>Table27[[#This Row],[SD]]/SQRT(Table27[[#This Row],[Count]])</f>
        <v>2.9099210650826888</v>
      </c>
      <c r="Z12" t="s">
        <v>25</v>
      </c>
      <c r="AA12">
        <v>2238.2409668</v>
      </c>
      <c r="AB12">
        <v>0.34285485971830765</v>
      </c>
      <c r="AC12">
        <v>1.5578671594589586E-2</v>
      </c>
      <c r="AD12">
        <v>3</v>
      </c>
      <c r="AE12">
        <v>8.9943502387530745E-3</v>
      </c>
      <c r="AF12">
        <v>0.3518492099570607</v>
      </c>
      <c r="AG12">
        <v>0.33386050947955459</v>
      </c>
      <c r="AJ12">
        <v>8.8814836217827047</v>
      </c>
      <c r="AK12">
        <v>5.3055429007296921E-2</v>
      </c>
      <c r="AL12">
        <v>3</v>
      </c>
      <c r="AM12">
        <v>3.063156621933396E-2</v>
      </c>
      <c r="AN12">
        <v>8.9121151880020388</v>
      </c>
      <c r="AO12">
        <v>8.8508520555633705</v>
      </c>
      <c r="AP12">
        <v>36</v>
      </c>
      <c r="AQ12" s="6">
        <v>584.31420898399995</v>
      </c>
      <c r="AS12">
        <v>36</v>
      </c>
      <c r="AT12" s="7">
        <v>14.24</v>
      </c>
      <c r="AU12" s="7">
        <v>7.7222406074921013</v>
      </c>
      <c r="AV12" s="7">
        <v>5</v>
      </c>
      <c r="AW12" s="7">
        <v>3.4534909873923221</v>
      </c>
      <c r="AX12" s="7">
        <v>17.693490987392323</v>
      </c>
      <c r="AY12" s="7">
        <v>10.786509012607677</v>
      </c>
      <c r="AZ12" s="6">
        <v>584.31420898399995</v>
      </c>
      <c r="BA12"/>
      <c r="BB12" s="7">
        <v>2281</v>
      </c>
      <c r="BC12" s="7">
        <v>58.025856305616031</v>
      </c>
      <c r="BD12" s="7">
        <v>3</v>
      </c>
      <c r="BE12" s="7">
        <v>33.501243758005963</v>
      </c>
      <c r="BF12" s="7">
        <v>2314.5012437580058</v>
      </c>
      <c r="BG12" s="7">
        <v>2247.4987562419942</v>
      </c>
      <c r="BH12">
        <v>36</v>
      </c>
      <c r="BI12" s="6">
        <v>584.31420898399995</v>
      </c>
      <c r="BJ12"/>
    </row>
    <row r="13" spans="1:62" x14ac:dyDescent="0.2">
      <c r="A13" s="4">
        <v>6.6388889000000004</v>
      </c>
      <c r="B13" s="4">
        <v>0.37203150000000001</v>
      </c>
      <c r="C13" s="4">
        <v>6</v>
      </c>
      <c r="D13" s="4">
        <v>0.15188119999999999</v>
      </c>
      <c r="E13" s="4">
        <v>6.7907700970000002</v>
      </c>
      <c r="F13" s="4">
        <v>6.4870076809999997</v>
      </c>
      <c r="G13" s="5">
        <v>888</v>
      </c>
      <c r="H13" s="4">
        <v>35</v>
      </c>
      <c r="I13" s="4"/>
      <c r="K13" t="s">
        <v>51</v>
      </c>
      <c r="L13" s="6">
        <v>821.85357666000004</v>
      </c>
      <c r="M13"/>
      <c r="N13">
        <v>0.17315089895486871</v>
      </c>
      <c r="O13">
        <v>9.2432077027335413E-2</v>
      </c>
      <c r="P13" s="11">
        <f t="shared" si="0"/>
        <v>0.13279148799110208</v>
      </c>
      <c r="Q13" s="11"/>
      <c r="R13" s="11">
        <f>Table27[[#This Row],[2019 GWC]]*100</f>
        <v>17.315089895486871</v>
      </c>
      <c r="S13" s="11">
        <f>Table27[[#This Row],[Avg 2021 GWC]]*100</f>
        <v>9.2432077027335406</v>
      </c>
      <c r="T13" s="11">
        <f>AVERAGE(Table27[[#This Row],[2018 GWC (%)]:[Avg 2021 GWC (%)]])</f>
        <v>13.279148799110207</v>
      </c>
      <c r="U13">
        <f>_xlfn.STDEV.S(Table27[[#This Row],[2018 GWC (%)]:[Avg 2021 GWC (%)]])</f>
        <v>5.7076826354348169</v>
      </c>
      <c r="V13">
        <f>COUNT(Table27[[#This Row],[2018 GWC (%)]:[Avg 2021 GWC (%)]])</f>
        <v>2</v>
      </c>
      <c r="W13">
        <f>Table27[[#This Row],[SD]]/SQRT(Table27[[#This Row],[Count]])</f>
        <v>4.0359410963766633</v>
      </c>
      <c r="Z13" t="s">
        <v>26</v>
      </c>
      <c r="AA13">
        <v>2176.1313476599998</v>
      </c>
      <c r="AB13">
        <v>0.75142813337877279</v>
      </c>
      <c r="AC13">
        <v>0.19100863621293976</v>
      </c>
      <c r="AD13">
        <v>3</v>
      </c>
      <c r="AE13">
        <v>0.11027888753508408</v>
      </c>
      <c r="AF13">
        <v>0.86170702091385687</v>
      </c>
      <c r="AG13">
        <v>0.64114924584368871</v>
      </c>
      <c r="AJ13">
        <v>12.475641293755125</v>
      </c>
      <c r="AK13">
        <v>7.7259991810262732E-2</v>
      </c>
      <c r="AL13">
        <v>3</v>
      </c>
      <c r="AM13">
        <v>4.4606077069243473E-2</v>
      </c>
      <c r="AN13">
        <v>12.520247370824368</v>
      </c>
      <c r="AO13">
        <v>12.431035216685881</v>
      </c>
      <c r="AP13">
        <v>35</v>
      </c>
      <c r="AQ13" s="6">
        <v>613.12280273399995</v>
      </c>
      <c r="AS13">
        <v>35</v>
      </c>
      <c r="AT13" s="7">
        <v>15.100000000000003</v>
      </c>
      <c r="AU13" s="7">
        <v>5.78964593045204</v>
      </c>
      <c r="AV13" s="7">
        <v>5</v>
      </c>
      <c r="AW13" s="7">
        <v>2.5892083732291562</v>
      </c>
      <c r="AX13" s="7">
        <v>17.68920837322916</v>
      </c>
      <c r="AY13" s="7">
        <v>12.510791626770846</v>
      </c>
      <c r="AZ13" s="6">
        <v>613.12280273399995</v>
      </c>
      <c r="BA13"/>
      <c r="BB13" s="7">
        <v>2020</v>
      </c>
      <c r="BC13" s="7">
        <v>20.663978319771825</v>
      </c>
      <c r="BD13" s="7">
        <v>3</v>
      </c>
      <c r="BE13" s="7">
        <v>11.930353445448855</v>
      </c>
      <c r="BF13" s="7">
        <v>2031.9303534454489</v>
      </c>
      <c r="BG13" s="7">
        <v>2008.0696465545511</v>
      </c>
      <c r="BH13">
        <v>35</v>
      </c>
      <c r="BI13" s="6">
        <v>613.12280273399995</v>
      </c>
      <c r="BJ13"/>
    </row>
    <row r="14" spans="1:62" x14ac:dyDescent="0.2">
      <c r="A14" s="2">
        <v>6.0933333000000003</v>
      </c>
      <c r="B14" s="2">
        <v>6.8312999999999999E-2</v>
      </c>
      <c r="C14" s="2">
        <v>5</v>
      </c>
      <c r="D14" s="2">
        <v>3.0550500000000001E-2</v>
      </c>
      <c r="E14" s="2">
        <v>6.1238838380000002</v>
      </c>
      <c r="F14" s="2">
        <v>6.0627828289999997</v>
      </c>
      <c r="G14" s="3">
        <v>916</v>
      </c>
      <c r="H14" s="2">
        <v>34</v>
      </c>
      <c r="I14" s="2"/>
      <c r="K14" t="s">
        <v>45</v>
      </c>
      <c r="L14" s="6">
        <v>887.72674560500002</v>
      </c>
      <c r="M14">
        <v>9.4717668488160212E-2</v>
      </c>
      <c r="N14">
        <v>0.19164241748969627</v>
      </c>
      <c r="O14">
        <v>0.11765738458263812</v>
      </c>
      <c r="P14" s="11">
        <f t="shared" si="0"/>
        <v>0.13467249018683153</v>
      </c>
      <c r="Q14" s="11">
        <f>Table27[[#This Row],[2018 GWC]]*100</f>
        <v>9.4717668488160207</v>
      </c>
      <c r="R14" s="11">
        <f>Table27[[#This Row],[2019 GWC]]*100</f>
        <v>19.164241748969626</v>
      </c>
      <c r="S14" s="11">
        <f>Table27[[#This Row],[Avg 2021 GWC]]*100</f>
        <v>11.765738458263812</v>
      </c>
      <c r="T14" s="11">
        <f>AVERAGE(Table27[[#This Row],[2018 GWC (%)]:[Avg 2021 GWC (%)]])</f>
        <v>13.467249018683153</v>
      </c>
      <c r="U14">
        <f>_xlfn.STDEV.S(Table27[[#This Row],[2018 GWC (%)]:[Avg 2021 GWC (%)]])</f>
        <v>5.0653105593774654</v>
      </c>
      <c r="V14">
        <f>COUNT(Table27[[#This Row],[2018 GWC (%)]:[Avg 2021 GWC (%)]])</f>
        <v>3</v>
      </c>
      <c r="W14">
        <f>Table27[[#This Row],[SD]]/SQRT(Table27[[#This Row],[Count]])</f>
        <v>2.9244584149856339</v>
      </c>
      <c r="Z14" t="s">
        <v>27</v>
      </c>
      <c r="AA14">
        <v>2162.6936035200001</v>
      </c>
      <c r="AB14">
        <v>0.6577036654282038</v>
      </c>
      <c r="AC14">
        <v>4.9720458140824896E-2</v>
      </c>
      <c r="AD14">
        <v>3</v>
      </c>
      <c r="AE14">
        <v>2.8706119891836773E-2</v>
      </c>
      <c r="AF14">
        <v>0.6864097853200406</v>
      </c>
      <c r="AG14">
        <v>0.628997545536367</v>
      </c>
      <c r="AJ14">
        <v>5.3616553379600695</v>
      </c>
      <c r="AK14">
        <v>2.8150521768369637E-2</v>
      </c>
      <c r="AL14">
        <v>3</v>
      </c>
      <c r="AM14">
        <v>1.6252711320796632E-2</v>
      </c>
      <c r="AN14">
        <v>5.3779080492808662</v>
      </c>
      <c r="AO14">
        <v>5.3454026266392729</v>
      </c>
      <c r="AP14">
        <v>34</v>
      </c>
      <c r="AQ14" s="6">
        <v>670.68457031299999</v>
      </c>
      <c r="AS14">
        <v>34</v>
      </c>
      <c r="AT14" s="7">
        <v>24.271428571428569</v>
      </c>
      <c r="AU14" s="7">
        <v>14.026250899143166</v>
      </c>
      <c r="AV14" s="7">
        <v>7</v>
      </c>
      <c r="AW14" s="7">
        <v>5.3014245293898465</v>
      </c>
      <c r="AX14" s="7">
        <v>29.572853100818413</v>
      </c>
      <c r="AY14" s="7">
        <v>18.970004042038724</v>
      </c>
      <c r="AZ14" s="6">
        <v>670.68457031299999</v>
      </c>
      <c r="BA14"/>
      <c r="BB14" s="7">
        <v>1994.6666666666667</v>
      </c>
      <c r="BC14" s="7">
        <v>11.372481406154654</v>
      </c>
      <c r="BD14" s="7">
        <v>3</v>
      </c>
      <c r="BE14" s="7">
        <v>6.5659052011974035</v>
      </c>
      <c r="BF14" s="7">
        <v>2001.2325718678642</v>
      </c>
      <c r="BG14" s="7">
        <v>1988.1007614654693</v>
      </c>
      <c r="BH14">
        <v>34</v>
      </c>
      <c r="BI14" s="6">
        <v>670.68457031299999</v>
      </c>
      <c r="BJ14"/>
    </row>
    <row r="15" spans="1:62" x14ac:dyDescent="0.2">
      <c r="A15" s="4">
        <v>6.0888888999999997</v>
      </c>
      <c r="B15" s="4">
        <v>0.1047042</v>
      </c>
      <c r="C15" s="4">
        <v>6</v>
      </c>
      <c r="D15" s="4">
        <v>4.27453E-2</v>
      </c>
      <c r="E15" s="4">
        <v>6.1316341870000004</v>
      </c>
      <c r="F15" s="4">
        <v>6.0461435909999999</v>
      </c>
      <c r="G15" s="5">
        <v>954</v>
      </c>
      <c r="H15" s="4">
        <v>33</v>
      </c>
      <c r="I15" s="4"/>
      <c r="K15" t="s">
        <v>50</v>
      </c>
      <c r="L15" s="6">
        <v>887.72674560500002</v>
      </c>
      <c r="M15"/>
      <c r="N15">
        <v>0.24291247238475547</v>
      </c>
      <c r="O15">
        <v>6.9931431908330885E-2</v>
      </c>
      <c r="P15" s="11">
        <f t="shared" si="0"/>
        <v>0.15642195214654317</v>
      </c>
      <c r="Q15" s="11"/>
      <c r="R15" s="11">
        <f>Table27[[#This Row],[2019 GWC]]*100</f>
        <v>24.291247238475545</v>
      </c>
      <c r="S15" s="11">
        <f>Table27[[#This Row],[Avg 2021 GWC]]*100</f>
        <v>6.9931431908330888</v>
      </c>
      <c r="T15" s="11">
        <f>AVERAGE(Table27[[#This Row],[2018 GWC (%)]:[Avg 2021 GWC (%)]])</f>
        <v>15.642195214654317</v>
      </c>
      <c r="U15">
        <f>_xlfn.STDEV.S(Table27[[#This Row],[2018 GWC (%)]:[Avg 2021 GWC (%)]])</f>
        <v>12.231606673758447</v>
      </c>
      <c r="V15">
        <f>COUNT(Table27[[#This Row],[2018 GWC (%)]:[Avg 2021 GWC (%)]])</f>
        <v>2</v>
      </c>
      <c r="W15">
        <f>Table27[[#This Row],[SD]]/SQRT(Table27[[#This Row],[Count]])</f>
        <v>8.6490520238212287</v>
      </c>
      <c r="Z15" t="s">
        <v>28</v>
      </c>
      <c r="AA15">
        <v>2122.2141113299999</v>
      </c>
      <c r="AB15">
        <v>0.17790982770681227</v>
      </c>
      <c r="AC15">
        <v>9.3621473985265283E-2</v>
      </c>
      <c r="AD15">
        <v>3</v>
      </c>
      <c r="AE15">
        <v>5.405238320732246E-2</v>
      </c>
      <c r="AF15">
        <v>0.23196221091413471</v>
      </c>
      <c r="AG15">
        <v>0.12385744449948981</v>
      </c>
      <c r="AJ15">
        <v>17.885950343345346</v>
      </c>
      <c r="AK15">
        <v>2.4111639525162126E-2</v>
      </c>
      <c r="AL15">
        <v>3</v>
      </c>
      <c r="AM15">
        <v>1.3920861570455575E-2</v>
      </c>
      <c r="AN15">
        <v>17.899871204915801</v>
      </c>
      <c r="AO15">
        <v>17.872029481774891</v>
      </c>
      <c r="AP15">
        <v>33</v>
      </c>
      <c r="AQ15" s="6">
        <v>698.42150878899997</v>
      </c>
      <c r="AS15">
        <v>33</v>
      </c>
      <c r="AT15" s="7">
        <v>28.459999999999997</v>
      </c>
      <c r="AU15" s="7">
        <v>19.776956287558519</v>
      </c>
      <c r="AV15" s="7">
        <v>5</v>
      </c>
      <c r="AW15" s="7">
        <v>8.8445237294045445</v>
      </c>
      <c r="AX15" s="7">
        <v>37.304523729404544</v>
      </c>
      <c r="AY15" s="7">
        <v>19.615476270595451</v>
      </c>
      <c r="AZ15" s="6">
        <v>698.42150878899997</v>
      </c>
      <c r="BA15"/>
      <c r="BB15" s="7">
        <v>2006</v>
      </c>
      <c r="BC15" s="7">
        <v>74.505033387013526</v>
      </c>
      <c r="BD15" s="7">
        <v>3</v>
      </c>
      <c r="BE15" s="7">
        <v>43.015501081974314</v>
      </c>
      <c r="BF15" s="7">
        <v>2049.0155010819744</v>
      </c>
      <c r="BG15" s="7">
        <v>1962.9844989180258</v>
      </c>
      <c r="BH15">
        <v>33</v>
      </c>
      <c r="BI15" s="6">
        <v>698.42150878899997</v>
      </c>
      <c r="BJ15"/>
    </row>
    <row r="16" spans="1:62" x14ac:dyDescent="0.2">
      <c r="A16" s="2">
        <v>6.1833333000000001</v>
      </c>
      <c r="B16" s="2">
        <v>3.49603E-2</v>
      </c>
      <c r="C16" s="2">
        <v>6</v>
      </c>
      <c r="D16" s="2">
        <v>1.42725E-2</v>
      </c>
      <c r="E16" s="2">
        <v>6.1976058140000001</v>
      </c>
      <c r="F16" s="2">
        <v>6.1690608530000004</v>
      </c>
      <c r="G16" s="3">
        <v>996</v>
      </c>
      <c r="H16" s="2">
        <v>32</v>
      </c>
      <c r="I16" s="2"/>
      <c r="K16" t="s">
        <v>44</v>
      </c>
      <c r="L16" s="6">
        <v>915.71697998000002</v>
      </c>
      <c r="M16">
        <v>0.1425762045231071</v>
      </c>
      <c r="N16">
        <v>0.25092897187601337</v>
      </c>
      <c r="O16">
        <v>0.14028855458674644</v>
      </c>
      <c r="P16" s="11">
        <f t="shared" si="0"/>
        <v>0.17793124366195565</v>
      </c>
      <c r="Q16" s="11">
        <f>Table27[[#This Row],[2018 GWC]]*100</f>
        <v>14.257620452310709</v>
      </c>
      <c r="R16" s="11">
        <f>Table27[[#This Row],[2019 GWC]]*100</f>
        <v>25.092897187601338</v>
      </c>
      <c r="S16" s="11">
        <f>Table27[[#This Row],[Avg 2021 GWC]]*100</f>
        <v>14.028855458674643</v>
      </c>
      <c r="T16" s="11">
        <f>AVERAGE(Table27[[#This Row],[2018 GWC (%)]:[Avg 2021 GWC (%)]])</f>
        <v>17.793124366195563</v>
      </c>
      <c r="U16">
        <f>_xlfn.STDEV.S(Table27[[#This Row],[2018 GWC (%)]:[Avg 2021 GWC (%)]])</f>
        <v>6.3228234032494637</v>
      </c>
      <c r="V16">
        <f>COUNT(Table27[[#This Row],[2018 GWC (%)]:[Avg 2021 GWC (%)]])</f>
        <v>3</v>
      </c>
      <c r="W16">
        <f>Table27[[#This Row],[SD]]/SQRT(Table27[[#This Row],[Count]])</f>
        <v>3.6504837939045438</v>
      </c>
      <c r="Z16" t="s">
        <v>29</v>
      </c>
      <c r="AA16">
        <v>2035.1241455100001</v>
      </c>
      <c r="AB16">
        <v>0.33477134430519234</v>
      </c>
      <c r="AC16">
        <v>0.10491516845422681</v>
      </c>
      <c r="AD16">
        <v>3</v>
      </c>
      <c r="AE16">
        <v>6.0572800749122788E-2</v>
      </c>
      <c r="AF16">
        <v>0.39534414505431514</v>
      </c>
      <c r="AG16">
        <v>0.27419854355606954</v>
      </c>
      <c r="AJ16">
        <v>9.4012254078776749</v>
      </c>
      <c r="AK16">
        <v>2.4819074829710543E-2</v>
      </c>
      <c r="AL16">
        <v>3</v>
      </c>
      <c r="AM16">
        <v>1.4329299533970849E-2</v>
      </c>
      <c r="AN16">
        <v>9.4155547074116459</v>
      </c>
      <c r="AO16">
        <v>9.3868961083437039</v>
      </c>
      <c r="AP16">
        <v>32</v>
      </c>
      <c r="AQ16" s="6">
        <v>759.40155029300001</v>
      </c>
      <c r="AS16">
        <v>32</v>
      </c>
      <c r="AT16" s="7">
        <v>51.6</v>
      </c>
      <c r="AU16" s="7">
        <v>8.7655575977800773</v>
      </c>
      <c r="AV16" s="7">
        <v>5</v>
      </c>
      <c r="AW16" s="7">
        <v>3.9200765298652023</v>
      </c>
      <c r="AX16" s="7">
        <v>55.520076529865207</v>
      </c>
      <c r="AY16" s="7">
        <v>47.679923470134796</v>
      </c>
      <c r="AZ16" s="6">
        <v>759.40155029300001</v>
      </c>
      <c r="BA16"/>
      <c r="BB16" s="7">
        <v>2208.6</v>
      </c>
      <c r="BC16" s="7">
        <v>65.41253702464077</v>
      </c>
      <c r="BD16" s="7">
        <v>5</v>
      </c>
      <c r="BE16" s="7">
        <v>29.253375873563719</v>
      </c>
      <c r="BF16" s="7">
        <v>2237.8533758735634</v>
      </c>
      <c r="BG16" s="7">
        <v>2179.3466241264364</v>
      </c>
      <c r="BH16">
        <v>32</v>
      </c>
      <c r="BI16" s="6">
        <v>759.40155029300001</v>
      </c>
      <c r="BJ16"/>
    </row>
    <row r="17" spans="1:62" x14ac:dyDescent="0.2">
      <c r="A17" s="4">
        <v>5.9666667000000002</v>
      </c>
      <c r="B17" s="4">
        <v>0.32998319999999998</v>
      </c>
      <c r="C17" s="4">
        <v>6</v>
      </c>
      <c r="D17" s="4">
        <v>0.1347151</v>
      </c>
      <c r="E17" s="4">
        <v>6.1013817289999999</v>
      </c>
      <c r="F17" s="4">
        <v>5.8319516040000003</v>
      </c>
      <c r="G17" s="5">
        <v>822</v>
      </c>
      <c r="H17" s="4">
        <v>31</v>
      </c>
      <c r="I17" s="4"/>
      <c r="K17" t="s">
        <v>49</v>
      </c>
      <c r="L17" s="6">
        <v>915.71697998000002</v>
      </c>
      <c r="M17"/>
      <c r="N17">
        <v>0.18554518172724258</v>
      </c>
      <c r="O17">
        <v>6.749643025623496E-2</v>
      </c>
      <c r="P17" s="11">
        <f t="shared" si="0"/>
        <v>0.12652080599173876</v>
      </c>
      <c r="Q17" s="11">
        <f>Table27[[#This Row],[2018 GWC]]*100</f>
        <v>0</v>
      </c>
      <c r="R17" s="11">
        <f>Table27[[#This Row],[2019 GWC]]*100</f>
        <v>18.554518172724258</v>
      </c>
      <c r="S17" s="11">
        <f>Table27[[#This Row],[Avg 2021 GWC]]*100</f>
        <v>6.7496430256234961</v>
      </c>
      <c r="T17" s="11">
        <f>AVERAGE(Table27[[#This Row],[2018 GWC (%)]:[Avg 2021 GWC (%)]])</f>
        <v>8.434720399449251</v>
      </c>
      <c r="U17">
        <f>_xlfn.STDEV.S(Table27[[#This Row],[2018 GWC (%)]:[Avg 2021 GWC (%)]])</f>
        <v>9.3913337962359389</v>
      </c>
      <c r="V17">
        <f>COUNT(Table27[[#This Row],[2018 GWC (%)]:[Avg 2021 GWC (%)]])</f>
        <v>3</v>
      </c>
      <c r="W17">
        <f>Table27[[#This Row],[SD]]/SQRT(Table27[[#This Row],[Count]])</f>
        <v>5.4220890953064496</v>
      </c>
      <c r="Z17" t="s">
        <v>30</v>
      </c>
      <c r="AA17">
        <v>1902.74255371</v>
      </c>
      <c r="AB17">
        <v>0.74077865908282281</v>
      </c>
      <c r="AC17">
        <v>0.20157447899553926</v>
      </c>
      <c r="AD17">
        <v>3</v>
      </c>
      <c r="AE17">
        <v>0.11637907970983316</v>
      </c>
      <c r="AF17">
        <v>0.857157738792656</v>
      </c>
      <c r="AG17">
        <v>0.62439957937298962</v>
      </c>
      <c r="AJ17">
        <v>92.283684137613179</v>
      </c>
      <c r="AK17">
        <v>0.19412972995731695</v>
      </c>
      <c r="AL17">
        <v>3</v>
      </c>
      <c r="AM17">
        <v>0.11208085184856631</v>
      </c>
      <c r="AN17">
        <v>92.395764989461739</v>
      </c>
      <c r="AO17">
        <v>92.171603285764618</v>
      </c>
      <c r="AP17">
        <v>31</v>
      </c>
      <c r="AQ17" s="6">
        <v>821.85357666000004</v>
      </c>
      <c r="AS17">
        <v>31</v>
      </c>
      <c r="AT17" s="7">
        <v>64.08</v>
      </c>
      <c r="AU17" s="7">
        <v>33.498910430042343</v>
      </c>
      <c r="AV17" s="7">
        <v>5</v>
      </c>
      <c r="AW17" s="7">
        <v>14.981168178750277</v>
      </c>
      <c r="AX17" s="7">
        <v>79.061168178750279</v>
      </c>
      <c r="AY17" s="7">
        <v>49.098831821249718</v>
      </c>
      <c r="AZ17" s="6">
        <v>821.85357666000004</v>
      </c>
      <c r="BA17"/>
      <c r="BB17" s="7">
        <v>2411.8000000000002</v>
      </c>
      <c r="BC17" s="7">
        <v>277.02111832854945</v>
      </c>
      <c r="BD17" s="7">
        <v>5</v>
      </c>
      <c r="BE17" s="7">
        <v>123.88761035712989</v>
      </c>
      <c r="BF17" s="7">
        <v>2535.6876103571299</v>
      </c>
      <c r="BG17" s="7">
        <v>2287.9123896428705</v>
      </c>
      <c r="BH17">
        <v>31</v>
      </c>
      <c r="BI17" s="6">
        <v>821.85357666000004</v>
      </c>
      <c r="BJ17"/>
    </row>
    <row r="18" spans="1:62" x14ac:dyDescent="0.2">
      <c r="A18" s="2">
        <v>5.8388888999999997</v>
      </c>
      <c r="B18" s="2">
        <v>0.11816500000000001</v>
      </c>
      <c r="C18" s="2">
        <v>6</v>
      </c>
      <c r="D18" s="2">
        <v>4.8240699999999997E-2</v>
      </c>
      <c r="E18" s="2">
        <v>5.8871295410000002</v>
      </c>
      <c r="F18" s="2">
        <v>5.7906482370000001</v>
      </c>
      <c r="G18" s="3">
        <v>888</v>
      </c>
      <c r="H18" s="2">
        <v>30</v>
      </c>
      <c r="I18" s="2"/>
      <c r="K18" t="s">
        <v>43</v>
      </c>
      <c r="L18" s="6">
        <v>954.46228027300003</v>
      </c>
      <c r="M18">
        <v>0.16272469252601693</v>
      </c>
      <c r="N18">
        <v>0.20613812901046932</v>
      </c>
      <c r="O18">
        <v>0.14096888102429472</v>
      </c>
      <c r="P18" s="11">
        <f t="shared" si="0"/>
        <v>0.16994390085359368</v>
      </c>
      <c r="Q18" s="11">
        <f>Table27[[#This Row],[2018 GWC]]*100</f>
        <v>16.272469252601692</v>
      </c>
      <c r="R18" s="11">
        <f>Table27[[#This Row],[2019 GWC]]*100</f>
        <v>20.613812901046931</v>
      </c>
      <c r="S18" s="11">
        <f>Table27[[#This Row],[Avg 2021 GWC]]*100</f>
        <v>14.096888102429473</v>
      </c>
      <c r="T18" s="11">
        <f>AVERAGE(Table27[[#This Row],[2018 GWC (%)]:[Avg 2021 GWC (%)]])</f>
        <v>16.994390085359367</v>
      </c>
      <c r="U18">
        <f>_xlfn.STDEV.S(Table27[[#This Row],[2018 GWC (%)]:[Avg 2021 GWC (%)]])</f>
        <v>3.3178991055012417</v>
      </c>
      <c r="V18">
        <f>COUNT(Table27[[#This Row],[2018 GWC (%)]:[Avg 2021 GWC (%)]])</f>
        <v>3</v>
      </c>
      <c r="W18">
        <f>Table27[[#This Row],[SD]]/SQRT(Table27[[#This Row],[Count]])</f>
        <v>1.9155899417051605</v>
      </c>
      <c r="Z18" t="s">
        <v>31</v>
      </c>
      <c r="AA18">
        <v>1807.7528076200001</v>
      </c>
      <c r="AB18">
        <v>0.64446184660698824</v>
      </c>
      <c r="AC18">
        <v>7.5371637084119314E-2</v>
      </c>
      <c r="AD18">
        <v>3</v>
      </c>
      <c r="AE18">
        <v>4.3515834959779065E-2</v>
      </c>
      <c r="AF18">
        <v>0.68797768156676731</v>
      </c>
      <c r="AG18">
        <v>0.60094601164720918</v>
      </c>
      <c r="AJ18">
        <v>15.576390702642776</v>
      </c>
      <c r="AK18">
        <v>2.2827113490860182E-2</v>
      </c>
      <c r="AL18">
        <v>3</v>
      </c>
      <c r="AM18">
        <v>1.3179240118770265E-2</v>
      </c>
      <c r="AN18">
        <v>15.589569942761546</v>
      </c>
      <c r="AO18">
        <v>15.563211462524006</v>
      </c>
      <c r="AP18">
        <v>30</v>
      </c>
      <c r="AQ18" s="6">
        <v>887.72674560500002</v>
      </c>
      <c r="AS18">
        <v>30</v>
      </c>
      <c r="AT18" s="7">
        <v>33.119999999999997</v>
      </c>
      <c r="AU18" s="7">
        <v>6.4410402886490381</v>
      </c>
      <c r="AV18" s="7">
        <v>5</v>
      </c>
      <c r="AW18" s="7">
        <v>2.880520786246823</v>
      </c>
      <c r="AX18" s="7">
        <v>36.000520786246824</v>
      </c>
      <c r="AY18" s="7">
        <v>30.239479213753174</v>
      </c>
      <c r="AZ18" s="6">
        <v>887.72674560500002</v>
      </c>
      <c r="BA18"/>
      <c r="BB18" s="7">
        <v>1892.5</v>
      </c>
      <c r="BC18" s="7">
        <v>141.23899796251226</v>
      </c>
      <c r="BD18" s="7">
        <v>12</v>
      </c>
      <c r="BE18" s="7">
        <v>40.772186746864733</v>
      </c>
      <c r="BF18" s="7">
        <v>1933.2721867468647</v>
      </c>
      <c r="BG18" s="7">
        <v>1851.7278132531353</v>
      </c>
      <c r="BH18">
        <v>30</v>
      </c>
      <c r="BI18" s="6">
        <v>887.72674560500002</v>
      </c>
      <c r="BJ18"/>
    </row>
    <row r="19" spans="1:62" x14ac:dyDescent="0.2">
      <c r="A19" s="4">
        <v>6.1666667000000004</v>
      </c>
      <c r="B19" s="4">
        <v>0.14757300000000001</v>
      </c>
      <c r="C19" s="4">
        <v>6</v>
      </c>
      <c r="D19" s="4">
        <v>6.0246399999999999E-2</v>
      </c>
      <c r="E19" s="4">
        <v>6.2269130739999996</v>
      </c>
      <c r="F19" s="4">
        <v>6.1064202590000001</v>
      </c>
      <c r="G19" s="5">
        <v>916</v>
      </c>
      <c r="H19" s="4">
        <v>29</v>
      </c>
      <c r="I19" s="4"/>
      <c r="K19" t="s">
        <v>48</v>
      </c>
      <c r="L19" s="6">
        <v>954.46228027300003</v>
      </c>
      <c r="M19"/>
      <c r="N19">
        <v>0.16140016668651033</v>
      </c>
      <c r="O19">
        <v>9.0487618467969266E-2</v>
      </c>
      <c r="P19" s="11">
        <f t="shared" si="0"/>
        <v>0.12594389257723981</v>
      </c>
      <c r="Q19" s="11"/>
      <c r="R19" s="11">
        <f>Table27[[#This Row],[2019 GWC]]*100</f>
        <v>16.140016668651032</v>
      </c>
      <c r="S19" s="11">
        <f>Table27[[#This Row],[Avg 2021 GWC]]*100</f>
        <v>9.0487618467969266</v>
      </c>
      <c r="T19" s="11">
        <f>AVERAGE(Table27[[#This Row],[2018 GWC (%)]:[Avg 2021 GWC (%)]])</f>
        <v>12.594389257723979</v>
      </c>
      <c r="U19">
        <f>_xlfn.STDEV.S(Table27[[#This Row],[2018 GWC (%)]:[Avg 2021 GWC (%)]])</f>
        <v>5.0142743716548432</v>
      </c>
      <c r="V19">
        <f>COUNT(Table27[[#This Row],[2018 GWC (%)]:[Avg 2021 GWC (%)]])</f>
        <v>2</v>
      </c>
      <c r="W19">
        <f>Table27[[#This Row],[SD]]/SQRT(Table27[[#This Row],[Count]])</f>
        <v>3.5456274109270542</v>
      </c>
      <c r="Z19" t="s">
        <v>32</v>
      </c>
      <c r="AA19">
        <v>1759</v>
      </c>
      <c r="AB19">
        <v>0.57388893659561979</v>
      </c>
      <c r="AC19">
        <v>7.3229776137309424E-2</v>
      </c>
      <c r="AD19">
        <v>3</v>
      </c>
      <c r="AE19">
        <v>4.2279230965571631E-2</v>
      </c>
      <c r="AF19">
        <v>0.61616816756119142</v>
      </c>
      <c r="AG19">
        <v>0.53160970563004817</v>
      </c>
      <c r="AJ19">
        <v>111.57936973117585</v>
      </c>
      <c r="AK19">
        <v>0.31400365402065006</v>
      </c>
      <c r="AL19">
        <v>3</v>
      </c>
      <c r="AM19">
        <v>0.18129009417534844</v>
      </c>
      <c r="AN19">
        <v>111.7606598253512</v>
      </c>
      <c r="AO19">
        <v>111.39807963700049</v>
      </c>
      <c r="AP19">
        <v>29</v>
      </c>
      <c r="AQ19" s="6">
        <v>915.71697998000002</v>
      </c>
      <c r="AS19">
        <v>29</v>
      </c>
      <c r="AT19" s="7">
        <v>42.16</v>
      </c>
      <c r="AU19" s="7">
        <v>27.986925518891852</v>
      </c>
      <c r="AV19" s="7">
        <v>5</v>
      </c>
      <c r="AW19" s="7">
        <v>12.516133588293151</v>
      </c>
      <c r="AX19" s="7">
        <v>54.676133588293148</v>
      </c>
      <c r="AY19" s="7">
        <v>29.643866411706846</v>
      </c>
      <c r="AZ19" s="6">
        <v>915.71697998000002</v>
      </c>
      <c r="BA19"/>
      <c r="BB19" s="7">
        <v>2427.8000000000002</v>
      </c>
      <c r="BC19" s="7">
        <v>157.76786745088495</v>
      </c>
      <c r="BD19" s="7">
        <v>5</v>
      </c>
      <c r="BE19" s="7">
        <v>70.555935257071042</v>
      </c>
      <c r="BF19" s="7">
        <v>2498.355935257071</v>
      </c>
      <c r="BG19" s="7">
        <v>2357.2440647429294</v>
      </c>
      <c r="BH19">
        <v>29</v>
      </c>
      <c r="BI19" s="6">
        <v>915.71697998000002</v>
      </c>
      <c r="BJ19"/>
    </row>
    <row r="20" spans="1:62" x14ac:dyDescent="0.2">
      <c r="A20" s="2">
        <v>6.2555556000000001</v>
      </c>
      <c r="B20" s="2">
        <v>0.24006169999999999</v>
      </c>
      <c r="C20" s="2">
        <v>6</v>
      </c>
      <c r="D20" s="2">
        <v>9.8004800000000003E-2</v>
      </c>
      <c r="E20" s="2">
        <v>6.3535603429999998</v>
      </c>
      <c r="F20" s="2">
        <v>6.1575507690000002</v>
      </c>
      <c r="G20" s="3">
        <v>954</v>
      </c>
      <c r="H20" s="2">
        <v>28</v>
      </c>
      <c r="I20" s="2"/>
      <c r="K20" t="s">
        <v>42</v>
      </c>
      <c r="L20" s="6">
        <v>995.80053710899995</v>
      </c>
      <c r="M20">
        <v>0.11750788643533125</v>
      </c>
      <c r="N20">
        <v>0.19424652782795965</v>
      </c>
      <c r="O20">
        <v>0.11850625117219364</v>
      </c>
      <c r="P20" s="11">
        <f t="shared" si="0"/>
        <v>0.14342022181182817</v>
      </c>
      <c r="Q20" s="11">
        <f>Table27[[#This Row],[2018 GWC]]*100</f>
        <v>11.750788643533125</v>
      </c>
      <c r="R20" s="11">
        <f>Table27[[#This Row],[2019 GWC]]*100</f>
        <v>19.424652782795963</v>
      </c>
      <c r="S20" s="11">
        <f>Table27[[#This Row],[Avg 2021 GWC]]*100</f>
        <v>11.850625117219364</v>
      </c>
      <c r="T20" s="11">
        <f>AVERAGE(Table27[[#This Row],[2018 GWC (%)]:[Avg 2021 GWC (%)]])</f>
        <v>14.342022181182818</v>
      </c>
      <c r="U20">
        <f>_xlfn.STDEV.S(Table27[[#This Row],[2018 GWC (%)]:[Avg 2021 GWC (%)]])</f>
        <v>4.4019702639511742</v>
      </c>
      <c r="V20">
        <f>COUNT(Table27[[#This Row],[2018 GWC (%)]:[Avg 2021 GWC (%)]])</f>
        <v>3</v>
      </c>
      <c r="W20">
        <f>Table27[[#This Row],[SD]]/SQRT(Table27[[#This Row],[Count]])</f>
        <v>2.5414787168569384</v>
      </c>
      <c r="Z20" t="s">
        <v>33</v>
      </c>
      <c r="AA20">
        <v>1710.6140136700001</v>
      </c>
      <c r="AB20">
        <v>0.88292668265884477</v>
      </c>
      <c r="AC20">
        <v>0.14524583991629975</v>
      </c>
      <c r="AD20">
        <v>3</v>
      </c>
      <c r="AE20">
        <v>8.3857724774348955E-2</v>
      </c>
      <c r="AF20">
        <v>0.96678440743319372</v>
      </c>
      <c r="AG20">
        <v>0.79906895788449583</v>
      </c>
      <c r="AJ20">
        <v>67.085908402699985</v>
      </c>
      <c r="AK20">
        <v>8.1276245088255622E-2</v>
      </c>
      <c r="AL20">
        <v>3</v>
      </c>
      <c r="AM20">
        <v>4.6924861980426384E-2</v>
      </c>
      <c r="AN20">
        <v>67.132833264680414</v>
      </c>
      <c r="AO20">
        <v>67.038983540719556</v>
      </c>
      <c r="AP20">
        <v>28</v>
      </c>
      <c r="AQ20" s="6">
        <v>954.46228027300003</v>
      </c>
      <c r="AS20">
        <v>28</v>
      </c>
      <c r="AT20" s="7">
        <v>57.06</v>
      </c>
      <c r="AU20" s="7">
        <v>11.539627376999658</v>
      </c>
      <c r="AV20" s="7">
        <v>5</v>
      </c>
      <c r="AW20" s="7">
        <v>5.1606782499977655</v>
      </c>
      <c r="AX20" s="7">
        <v>62.220678249997768</v>
      </c>
      <c r="AY20" s="7">
        <v>51.899321750002237</v>
      </c>
      <c r="AZ20" s="6">
        <v>954.46228027300003</v>
      </c>
      <c r="BA20"/>
      <c r="BB20" s="7">
        <v>2796.8</v>
      </c>
      <c r="BC20" s="7">
        <v>148.15093654783286</v>
      </c>
      <c r="BD20" s="7">
        <v>5</v>
      </c>
      <c r="BE20" s="7">
        <v>66.255113010242454</v>
      </c>
      <c r="BF20" s="7">
        <v>2863.0551130102426</v>
      </c>
      <c r="BG20" s="7">
        <v>2730.5448869897577</v>
      </c>
      <c r="BH20">
        <v>28</v>
      </c>
      <c r="BI20" s="6">
        <v>954.46228027300003</v>
      </c>
      <c r="BJ20"/>
    </row>
    <row r="21" spans="1:62" x14ac:dyDescent="0.2">
      <c r="A21" s="4">
        <v>6.0388888999999999</v>
      </c>
      <c r="B21" s="4">
        <v>0.106284</v>
      </c>
      <c r="C21" s="4">
        <v>6</v>
      </c>
      <c r="D21" s="4">
        <v>4.33903E-2</v>
      </c>
      <c r="E21" s="4">
        <v>6.0822791650000001</v>
      </c>
      <c r="F21" s="4">
        <v>5.9954986129999996</v>
      </c>
      <c r="G21" s="5">
        <v>996</v>
      </c>
      <c r="H21" s="4">
        <v>27</v>
      </c>
      <c r="I21" s="4"/>
      <c r="K21" t="s">
        <v>47</v>
      </c>
      <c r="L21" s="6">
        <v>995.80053710899995</v>
      </c>
      <c r="M21">
        <v>9.3824228028503667E-2</v>
      </c>
      <c r="N21">
        <v>0.19162401843966079</v>
      </c>
      <c r="O21">
        <v>7.4697946738852147E-2</v>
      </c>
      <c r="P21" s="11">
        <f t="shared" si="0"/>
        <v>0.12004873106900554</v>
      </c>
      <c r="Q21" s="11">
        <f>Table27[[#This Row],[2018 GWC]]*100</f>
        <v>9.3824228028503676</v>
      </c>
      <c r="R21" s="11">
        <f>Table27[[#This Row],[2019 GWC]]*100</f>
        <v>19.16240184396608</v>
      </c>
      <c r="S21" s="11">
        <f>Table27[[#This Row],[Avg 2021 GWC]]*100</f>
        <v>7.4697946738852146</v>
      </c>
      <c r="T21" s="11">
        <f>AVERAGE(Table27[[#This Row],[2018 GWC (%)]:[Avg 2021 GWC (%)]])</f>
        <v>12.004873106900554</v>
      </c>
      <c r="U21">
        <f>_xlfn.STDEV.S(Table27[[#This Row],[2018 GWC (%)]:[Avg 2021 GWC (%)]])</f>
        <v>6.2719374842520788</v>
      </c>
      <c r="V21">
        <f>COUNT(Table27[[#This Row],[2018 GWC (%)]:[Avg 2021 GWC (%)]])</f>
        <v>3</v>
      </c>
      <c r="W21">
        <f>Table27[[#This Row],[SD]]/SQRT(Table27[[#This Row],[Count]])</f>
        <v>3.6211047948734421</v>
      </c>
      <c r="Z21" t="s">
        <v>34</v>
      </c>
      <c r="AA21">
        <v>1577.5518798799999</v>
      </c>
      <c r="AB21">
        <v>1.125373625258477</v>
      </c>
      <c r="AC21">
        <v>0.16588126413638718</v>
      </c>
      <c r="AD21">
        <v>3</v>
      </c>
      <c r="AE21">
        <v>9.5771592502658556E-2</v>
      </c>
      <c r="AF21">
        <v>1.2211452177611355</v>
      </c>
      <c r="AG21">
        <v>1.0296020327558184</v>
      </c>
      <c r="AJ21">
        <v>79.971417691353452</v>
      </c>
      <c r="AK21">
        <v>0.12217601468069678</v>
      </c>
      <c r="AL21">
        <v>3</v>
      </c>
      <c r="AM21">
        <v>7.0538354964415961E-2</v>
      </c>
      <c r="AN21">
        <v>80.041956046317864</v>
      </c>
      <c r="AO21">
        <v>79.900879336389039</v>
      </c>
      <c r="AP21">
        <v>27</v>
      </c>
      <c r="AQ21" s="6">
        <v>995.80053710899995</v>
      </c>
      <c r="AS21">
        <v>27</v>
      </c>
      <c r="AT21" s="7">
        <v>46.028571428571425</v>
      </c>
      <c r="AU21" s="7">
        <v>13.83795677183044</v>
      </c>
      <c r="AV21" s="7">
        <v>7</v>
      </c>
      <c r="AW21" s="7">
        <v>5.2302560387893591</v>
      </c>
      <c r="AX21" s="7">
        <v>51.258827467360781</v>
      </c>
      <c r="AY21" s="7">
        <v>40.798315389782069</v>
      </c>
      <c r="AZ21" s="6">
        <v>995.80053710899995</v>
      </c>
      <c r="BA21"/>
      <c r="BB21" s="7">
        <v>2587.8000000000002</v>
      </c>
      <c r="BC21" s="7">
        <v>127.3389178531057</v>
      </c>
      <c r="BD21" s="7">
        <v>5</v>
      </c>
      <c r="BE21" s="7">
        <v>56.947695300161179</v>
      </c>
      <c r="BF21" s="7">
        <v>2644.7476953001615</v>
      </c>
      <c r="BG21" s="7">
        <v>2530.8523046998389</v>
      </c>
      <c r="BH21">
        <v>27</v>
      </c>
      <c r="BI21" s="6">
        <v>995.80053710899995</v>
      </c>
      <c r="BJ21"/>
    </row>
    <row r="22" spans="1:62" x14ac:dyDescent="0.2">
      <c r="A22" s="2">
        <v>6.0555555999999999</v>
      </c>
      <c r="B22" s="2">
        <v>4.03687E-2</v>
      </c>
      <c r="C22" s="2">
        <v>6</v>
      </c>
      <c r="D22" s="2">
        <v>1.6480399999999999E-2</v>
      </c>
      <c r="E22" s="2">
        <v>6.0720359970000004</v>
      </c>
      <c r="F22" s="2">
        <v>6.0390751140000001</v>
      </c>
      <c r="G22" s="3">
        <v>1113</v>
      </c>
      <c r="H22" s="2">
        <v>26</v>
      </c>
      <c r="I22" s="2"/>
      <c r="K22" t="s">
        <v>41</v>
      </c>
      <c r="L22" s="6">
        <v>1113.4626464800001</v>
      </c>
      <c r="M22">
        <v>0.13588516746411483</v>
      </c>
      <c r="N22">
        <v>0.19181997307789853</v>
      </c>
      <c r="O22">
        <v>0.16557633249615306</v>
      </c>
      <c r="P22" s="11">
        <f t="shared" si="0"/>
        <v>0.16442715767938881</v>
      </c>
      <c r="Q22" s="11">
        <f>Table27[[#This Row],[2018 GWC]]*100</f>
        <v>13.588516746411482</v>
      </c>
      <c r="R22" s="11">
        <f>Table27[[#This Row],[2019 GWC]]*100</f>
        <v>19.181997307789853</v>
      </c>
      <c r="S22" s="11">
        <f>Table27[[#This Row],[Avg 2021 GWC]]*100</f>
        <v>16.557633249615307</v>
      </c>
      <c r="T22" s="11">
        <f>AVERAGE(Table27[[#This Row],[2018 GWC (%)]:[Avg 2021 GWC (%)]])</f>
        <v>16.442715767938882</v>
      </c>
      <c r="U22">
        <f>_xlfn.STDEV.S(Table27[[#This Row],[2018 GWC (%)]:[Avg 2021 GWC (%)]])</f>
        <v>2.7985104463491939</v>
      </c>
      <c r="V22">
        <f>COUNT(Table27[[#This Row],[2018 GWC (%)]:[Avg 2021 GWC (%)]])</f>
        <v>3</v>
      </c>
      <c r="W22">
        <f>Table27[[#This Row],[SD]]/SQRT(Table27[[#This Row],[Count]])</f>
        <v>1.615720759529687</v>
      </c>
      <c r="Z22" t="s">
        <v>35</v>
      </c>
      <c r="AA22">
        <v>1526.9757080100001</v>
      </c>
      <c r="AB22">
        <v>1.6023446730715414</v>
      </c>
      <c r="AC22">
        <v>0.39651290633279407</v>
      </c>
      <c r="AD22">
        <v>3</v>
      </c>
      <c r="AE22">
        <v>0.22892683320839954</v>
      </c>
      <c r="AF22">
        <v>1.831271506279941</v>
      </c>
      <c r="AG22">
        <v>1.3734178398631418</v>
      </c>
      <c r="AJ22">
        <v>121.64936267280757</v>
      </c>
      <c r="AK22">
        <v>6.9430670488744017E-2</v>
      </c>
      <c r="AL22">
        <v>3</v>
      </c>
      <c r="AM22">
        <v>4.008581629669257E-2</v>
      </c>
      <c r="AN22">
        <v>121.68944848910427</v>
      </c>
      <c r="AO22">
        <v>121.60927685651087</v>
      </c>
      <c r="AP22">
        <v>26</v>
      </c>
      <c r="AQ22" s="6">
        <v>1113.4626464800001</v>
      </c>
      <c r="AS22">
        <v>26</v>
      </c>
      <c r="AT22" s="7">
        <v>55.800000000000004</v>
      </c>
      <c r="AU22" s="7">
        <v>31.240411862415204</v>
      </c>
      <c r="AV22" s="7">
        <v>7</v>
      </c>
      <c r="AW22" s="7">
        <v>11.807765806168973</v>
      </c>
      <c r="AX22" s="7">
        <v>67.60776580616897</v>
      </c>
      <c r="AY22" s="7">
        <v>43.992234193831031</v>
      </c>
      <c r="AZ22" s="6">
        <v>1113.4626464800001</v>
      </c>
      <c r="BA22"/>
      <c r="BB22" s="7">
        <v>3499.4</v>
      </c>
      <c r="BC22" s="7">
        <v>368.65539464383266</v>
      </c>
      <c r="BD22" s="7">
        <v>5</v>
      </c>
      <c r="BE22" s="7">
        <v>164.86770453912433</v>
      </c>
      <c r="BF22" s="7">
        <v>3664.2677045391242</v>
      </c>
      <c r="BG22" s="7">
        <v>3334.532295460876</v>
      </c>
      <c r="BH22">
        <v>26</v>
      </c>
      <c r="BI22" s="6">
        <v>1113.4626464800001</v>
      </c>
      <c r="BJ22"/>
    </row>
    <row r="23" spans="1:62" x14ac:dyDescent="0.2">
      <c r="A23" s="4">
        <v>6.2555556000000001</v>
      </c>
      <c r="B23" s="4">
        <v>0.1344399</v>
      </c>
      <c r="C23" s="4">
        <v>6</v>
      </c>
      <c r="D23" s="4">
        <v>5.4884799999999997E-2</v>
      </c>
      <c r="E23" s="4">
        <v>6.3104403959999997</v>
      </c>
      <c r="F23" s="4">
        <v>6.2006707150000002</v>
      </c>
      <c r="G23" s="5">
        <v>1159</v>
      </c>
      <c r="H23" s="4">
        <v>25</v>
      </c>
      <c r="I23" s="4"/>
      <c r="K23" t="s">
        <v>40</v>
      </c>
      <c r="L23" s="6">
        <v>1159.1307373</v>
      </c>
      <c r="M23">
        <v>0.17820773930753564</v>
      </c>
      <c r="N23">
        <v>0.12185726633845687</v>
      </c>
      <c r="O23">
        <v>0.12603864145285559</v>
      </c>
      <c r="P23" s="11">
        <f t="shared" si="0"/>
        <v>0.14203454903294935</v>
      </c>
      <c r="Q23" s="11">
        <f>Table27[[#This Row],[2018 GWC]]*100</f>
        <v>17.820773930753564</v>
      </c>
      <c r="R23" s="11">
        <f>Table27[[#This Row],[2019 GWC]]*100</f>
        <v>12.185726633845686</v>
      </c>
      <c r="S23" s="11">
        <f>Table27[[#This Row],[Avg 2021 GWC]]*100</f>
        <v>12.603864145285559</v>
      </c>
      <c r="T23" s="11">
        <f>AVERAGE(Table27[[#This Row],[2018 GWC (%)]:[Avg 2021 GWC (%)]])</f>
        <v>14.203454903294935</v>
      </c>
      <c r="U23">
        <f>_xlfn.STDEV.S(Table27[[#This Row],[2018 GWC (%)]:[Avg 2021 GWC (%)]])</f>
        <v>3.1396588117865671</v>
      </c>
      <c r="V23">
        <f>COUNT(Table27[[#This Row],[2018 GWC (%)]:[Avg 2021 GWC (%)]])</f>
        <v>3</v>
      </c>
      <c r="W23">
        <f>Table27[[#This Row],[SD]]/SQRT(Table27[[#This Row],[Count]])</f>
        <v>1.8126828601485552</v>
      </c>
      <c r="Z23" t="s">
        <v>36</v>
      </c>
      <c r="AA23">
        <v>1441.8370361299999</v>
      </c>
      <c r="AB23">
        <v>0.9208955645877156</v>
      </c>
      <c r="AC23">
        <v>0.62761050523617634</v>
      </c>
      <c r="AD23">
        <v>3</v>
      </c>
      <c r="AE23">
        <v>0.36235109414434347</v>
      </c>
      <c r="AF23">
        <v>1.283246658732059</v>
      </c>
      <c r="AG23">
        <v>0.55854447044337219</v>
      </c>
      <c r="AJ23">
        <v>71.746917509355555</v>
      </c>
      <c r="AK23">
        <v>1.3004955237635214E-2</v>
      </c>
      <c r="AL23">
        <v>3</v>
      </c>
      <c r="AM23">
        <v>7.5084144072477248E-3</v>
      </c>
      <c r="AN23">
        <v>71.75442592376281</v>
      </c>
      <c r="AO23">
        <v>71.7394090949483</v>
      </c>
      <c r="AP23">
        <v>25</v>
      </c>
      <c r="AQ23" s="6">
        <v>1159.1307373</v>
      </c>
      <c r="AS23">
        <v>25</v>
      </c>
      <c r="AT23" s="7">
        <v>50.885714285714286</v>
      </c>
      <c r="AU23" s="7">
        <v>37.864117955809157</v>
      </c>
      <c r="AV23" s="7">
        <v>7</v>
      </c>
      <c r="AW23" s="7">
        <v>14.311291389126625</v>
      </c>
      <c r="AX23" s="7">
        <v>65.197005674840909</v>
      </c>
      <c r="AY23" s="7">
        <v>36.574422896587663</v>
      </c>
      <c r="AZ23" s="6">
        <v>1159.1307373</v>
      </c>
      <c r="BA23"/>
      <c r="BB23" s="7">
        <v>2260.4</v>
      </c>
      <c r="BC23" s="7">
        <v>673.88967939863858</v>
      </c>
      <c r="BD23" s="7">
        <v>5</v>
      </c>
      <c r="BE23" s="7">
        <v>301.37262649417909</v>
      </c>
      <c r="BF23" s="7">
        <v>2561.7726264941793</v>
      </c>
      <c r="BG23" s="7">
        <v>1959.0273735058211</v>
      </c>
      <c r="BH23">
        <v>25</v>
      </c>
      <c r="BI23" s="6">
        <v>1159.1307373</v>
      </c>
      <c r="BJ23"/>
    </row>
    <row r="24" spans="1:62" x14ac:dyDescent="0.2">
      <c r="A24" s="2">
        <v>5.6777778000000003</v>
      </c>
      <c r="B24" s="2">
        <v>0.29414030000000002</v>
      </c>
      <c r="C24" s="2">
        <v>6</v>
      </c>
      <c r="D24" s="2">
        <v>0.1200823</v>
      </c>
      <c r="E24" s="2">
        <v>5.797860054</v>
      </c>
      <c r="F24" s="2">
        <v>5.5576955010000004</v>
      </c>
      <c r="G24" s="3">
        <v>1207</v>
      </c>
      <c r="H24" s="2">
        <v>24</v>
      </c>
      <c r="I24" s="2"/>
      <c r="K24" t="s">
        <v>39</v>
      </c>
      <c r="L24" s="6">
        <v>1206.9226074200001</v>
      </c>
      <c r="M24">
        <v>0.18009049773755642</v>
      </c>
      <c r="N24">
        <v>0.42869762325410826</v>
      </c>
      <c r="O24">
        <v>0.1267527825819473</v>
      </c>
      <c r="P24" s="11">
        <f t="shared" si="0"/>
        <v>0.24518030119120401</v>
      </c>
      <c r="Q24" s="11">
        <f>Table27[[#This Row],[2018 GWC]]*100</f>
        <v>18.009049773755642</v>
      </c>
      <c r="R24" s="11">
        <f>Table27[[#This Row],[2019 GWC]]*100</f>
        <v>42.869762325410825</v>
      </c>
      <c r="S24" s="11">
        <f>Table27[[#This Row],[Avg 2021 GWC]]*100</f>
        <v>12.67527825819473</v>
      </c>
      <c r="T24" s="11">
        <f>AVERAGE(Table27[[#This Row],[2018 GWC (%)]:[Avg 2021 GWC (%)]])</f>
        <v>24.518030119120397</v>
      </c>
      <c r="U24">
        <f>_xlfn.STDEV.S(Table27[[#This Row],[2018 GWC (%)]:[Avg 2021 GWC (%)]])</f>
        <v>16.115267167304427</v>
      </c>
      <c r="V24">
        <f>COUNT(Table27[[#This Row],[2018 GWC (%)]:[Avg 2021 GWC (%)]])</f>
        <v>3</v>
      </c>
      <c r="W24">
        <f>Table27[[#This Row],[SD]]/SQRT(Table27[[#This Row],[Count]])</f>
        <v>9.3041538371059502</v>
      </c>
      <c r="Z24" t="s">
        <v>37</v>
      </c>
      <c r="AA24">
        <v>1340.0395507799999</v>
      </c>
      <c r="AB24">
        <v>0.30120719542495394</v>
      </c>
      <c r="AC24">
        <v>6.9389195968024273E-2</v>
      </c>
      <c r="AD24">
        <v>3</v>
      </c>
      <c r="AE24">
        <v>4.006187097099051E-2</v>
      </c>
      <c r="AF24">
        <v>0.34126906639594445</v>
      </c>
      <c r="AG24">
        <v>0.26114532445396343</v>
      </c>
      <c r="AJ24">
        <v>211.47441142357056</v>
      </c>
      <c r="AK24">
        <v>43.097935986370516</v>
      </c>
      <c r="AL24">
        <v>3</v>
      </c>
      <c r="AM24">
        <v>24.882604943248278</v>
      </c>
      <c r="AN24">
        <v>236.35701636681884</v>
      </c>
      <c r="AO24">
        <v>186.59180648032228</v>
      </c>
      <c r="AP24">
        <v>24</v>
      </c>
      <c r="AQ24" s="6">
        <v>1206.9226074200001</v>
      </c>
      <c r="AS24">
        <v>24</v>
      </c>
      <c r="AT24" s="7">
        <v>48.687499999999993</v>
      </c>
      <c r="AU24" s="7">
        <v>24.733461285126651</v>
      </c>
      <c r="AV24" s="7">
        <v>8</v>
      </c>
      <c r="AW24" s="7">
        <v>8.744599098463997</v>
      </c>
      <c r="AX24" s="7">
        <v>57.432099098463993</v>
      </c>
      <c r="AY24" s="7">
        <v>39.942900901535992</v>
      </c>
      <c r="AZ24" s="6">
        <v>1206.9226074200001</v>
      </c>
      <c r="BA24"/>
      <c r="BB24" s="7">
        <v>3308.8</v>
      </c>
      <c r="BC24" s="7">
        <v>163.68170331469548</v>
      </c>
      <c r="BD24" s="7">
        <v>5</v>
      </c>
      <c r="BE24" s="7">
        <v>73.200683056922344</v>
      </c>
      <c r="BF24" s="7">
        <v>3382.0006830569228</v>
      </c>
      <c r="BG24" s="7">
        <v>3235.5993169430776</v>
      </c>
      <c r="BH24">
        <v>24</v>
      </c>
      <c r="BI24" s="6">
        <v>1206.9226074200001</v>
      </c>
      <c r="BJ24"/>
    </row>
    <row r="25" spans="1:62" x14ac:dyDescent="0.2">
      <c r="A25" s="4">
        <v>5.8444444000000004</v>
      </c>
      <c r="B25" s="4">
        <v>0.4020319</v>
      </c>
      <c r="C25" s="4">
        <v>6</v>
      </c>
      <c r="D25" s="4">
        <v>0.16412879999999999</v>
      </c>
      <c r="E25" s="4">
        <v>6.0085732710000004</v>
      </c>
      <c r="F25" s="4">
        <v>5.6803156179999998</v>
      </c>
      <c r="G25" s="5">
        <v>1289</v>
      </c>
      <c r="H25" s="4">
        <v>23</v>
      </c>
      <c r="I25" s="4"/>
      <c r="K25" t="s">
        <v>38</v>
      </c>
      <c r="L25" s="6">
        <v>1289.3337402300001</v>
      </c>
      <c r="M25">
        <v>0.22295701464336318</v>
      </c>
      <c r="N25">
        <v>0.26133812303547371</v>
      </c>
      <c r="O25">
        <v>0.16309103362163682</v>
      </c>
      <c r="P25" s="11">
        <f t="shared" si="0"/>
        <v>0.21579539043349125</v>
      </c>
      <c r="Q25" s="11">
        <f>Table27[[#This Row],[2018 GWC]]*100</f>
        <v>22.295701464336318</v>
      </c>
      <c r="R25" s="11">
        <f>Table27[[#This Row],[2019 GWC]]*100</f>
        <v>26.133812303547373</v>
      </c>
      <c r="S25" s="11">
        <f>Table27[[#This Row],[Avg 2021 GWC]]*100</f>
        <v>16.309103362163683</v>
      </c>
      <c r="T25" s="11">
        <f>AVERAGE(Table27[[#This Row],[2018 GWC (%)]:[Avg 2021 GWC (%)]])</f>
        <v>21.579539043349126</v>
      </c>
      <c r="U25">
        <f>_xlfn.STDEV.S(Table27[[#This Row],[2018 GWC (%)]:[Avg 2021 GWC (%)]])</f>
        <v>4.9513526339427676</v>
      </c>
      <c r="V25">
        <f>COUNT(Table27[[#This Row],[2018 GWC (%)]:[Avg 2021 GWC (%)]])</f>
        <v>3</v>
      </c>
      <c r="W25">
        <f>Table27[[#This Row],[SD]]/SQRT(Table27[[#This Row],[Count]])</f>
        <v>2.8586647760596198</v>
      </c>
      <c r="Z25" t="s">
        <v>38</v>
      </c>
      <c r="AA25">
        <v>1289.3337402300001</v>
      </c>
      <c r="AB25">
        <v>1.2944963490128192</v>
      </c>
      <c r="AC25">
        <v>0.25880966283116025</v>
      </c>
      <c r="AD25">
        <v>3</v>
      </c>
      <c r="AE25">
        <v>0.14942382850444666</v>
      </c>
      <c r="AF25">
        <v>1.4439201775172659</v>
      </c>
      <c r="AG25">
        <v>1.1450725205083725</v>
      </c>
      <c r="AJ25">
        <v>100.50080543985071</v>
      </c>
      <c r="AK25">
        <v>37.799745968650193</v>
      </c>
      <c r="AL25">
        <v>3</v>
      </c>
      <c r="AM25">
        <v>21.823693510299663</v>
      </c>
      <c r="AN25">
        <v>122.32449895015037</v>
      </c>
      <c r="AO25">
        <v>78.677111929551046</v>
      </c>
      <c r="AP25">
        <v>23</v>
      </c>
      <c r="AQ25" s="6">
        <v>1289.3337402300001</v>
      </c>
      <c r="AS25">
        <v>23</v>
      </c>
      <c r="AT25" s="7">
        <v>37.35</v>
      </c>
      <c r="AU25" s="7">
        <v>18.79270375134228</v>
      </c>
      <c r="AV25" s="7">
        <v>8</v>
      </c>
      <c r="AW25" s="7">
        <v>6.6442241297019979</v>
      </c>
      <c r="AX25" s="7">
        <v>43.994224129701998</v>
      </c>
      <c r="AY25" s="7">
        <v>30.705775870298005</v>
      </c>
      <c r="AZ25" s="6">
        <v>1289.3337402300001</v>
      </c>
      <c r="BA25"/>
      <c r="BB25" s="7">
        <v>2901.8888888888887</v>
      </c>
      <c r="BC25" s="7">
        <v>251.69994261245097</v>
      </c>
      <c r="BD25" s="7">
        <v>9</v>
      </c>
      <c r="BE25" s="7">
        <v>83.899980870816989</v>
      </c>
      <c r="BF25" s="7">
        <v>2985.7888697597054</v>
      </c>
      <c r="BG25" s="7">
        <v>2817.9889080180719</v>
      </c>
      <c r="BH25">
        <v>23</v>
      </c>
      <c r="BI25" s="6">
        <v>1289.3337402300001</v>
      </c>
      <c r="BJ25"/>
    </row>
    <row r="26" spans="1:62" x14ac:dyDescent="0.2">
      <c r="A26" s="2">
        <v>5.7444443999999999</v>
      </c>
      <c r="B26" s="2">
        <v>8.8610700000000001E-2</v>
      </c>
      <c r="C26" s="2">
        <v>6</v>
      </c>
      <c r="D26" s="2">
        <v>3.6175199999999998E-2</v>
      </c>
      <c r="E26" s="2">
        <v>5.7806196009999997</v>
      </c>
      <c r="F26" s="2">
        <v>5.7082692880000003</v>
      </c>
      <c r="G26" s="3">
        <v>1340</v>
      </c>
      <c r="H26" s="2">
        <v>22</v>
      </c>
      <c r="I26" s="2"/>
      <c r="K26" t="s">
        <v>37</v>
      </c>
      <c r="L26" s="6">
        <v>1340.0395507799999</v>
      </c>
      <c r="M26">
        <v>0.31034482758620685</v>
      </c>
      <c r="N26">
        <v>0.39653602737111027</v>
      </c>
      <c r="O26">
        <v>0.29386095686681546</v>
      </c>
      <c r="P26" s="11">
        <f t="shared" si="0"/>
        <v>0.33358060394137751</v>
      </c>
      <c r="Q26" s="11">
        <f>Table27[[#This Row],[2018 GWC]]*100</f>
        <v>31.034482758620683</v>
      </c>
      <c r="R26" s="11">
        <f>Table27[[#This Row],[2019 GWC]]*100</f>
        <v>39.653602737111029</v>
      </c>
      <c r="S26" s="11">
        <f>Table27[[#This Row],[Avg 2021 GWC]]*100</f>
        <v>29.386095686681546</v>
      </c>
      <c r="T26" s="11">
        <f>AVERAGE(Table27[[#This Row],[2018 GWC (%)]:[Avg 2021 GWC (%)]])</f>
        <v>33.358060394137752</v>
      </c>
      <c r="U26">
        <f>_xlfn.STDEV.S(Table27[[#This Row],[2018 GWC (%)]:[Avg 2021 GWC (%)]])</f>
        <v>5.5140443441145077</v>
      </c>
      <c r="V26">
        <f>COUNT(Table27[[#This Row],[2018 GWC (%)]:[Avg 2021 GWC (%)]])</f>
        <v>3</v>
      </c>
      <c r="W26">
        <f>Table27[[#This Row],[SD]]/SQRT(Table27[[#This Row],[Count]])</f>
        <v>3.1835349863980444</v>
      </c>
      <c r="Z26" t="s">
        <v>39</v>
      </c>
      <c r="AA26">
        <v>1206.9226074200001</v>
      </c>
      <c r="AB26">
        <v>0.95280926620337369</v>
      </c>
      <c r="AC26">
        <v>0.57792331622010762</v>
      </c>
      <c r="AD26">
        <v>3</v>
      </c>
      <c r="AE26">
        <v>0.33366418219064037</v>
      </c>
      <c r="AF26">
        <v>1.2864734483940141</v>
      </c>
      <c r="AG26">
        <v>0.61914508401273327</v>
      </c>
      <c r="AJ26">
        <v>97.355093986914582</v>
      </c>
      <c r="AK26">
        <v>6.9389195968027104E-2</v>
      </c>
      <c r="AL26">
        <v>3</v>
      </c>
      <c r="AM26">
        <v>4.0061870970992147E-2</v>
      </c>
      <c r="AN26">
        <v>97.39515585788557</v>
      </c>
      <c r="AO26">
        <v>97.315032115943595</v>
      </c>
      <c r="AP26">
        <v>22</v>
      </c>
      <c r="AQ26" s="6">
        <v>1340.0395507799999</v>
      </c>
      <c r="AS26">
        <v>22</v>
      </c>
      <c r="AT26" s="7">
        <v>43.871428571428574</v>
      </c>
      <c r="AU26" s="7">
        <v>15.149225974255161</v>
      </c>
      <c r="AV26" s="7">
        <v>7</v>
      </c>
      <c r="AW26" s="7">
        <v>5.7258692118570487</v>
      </c>
      <c r="AX26" s="7">
        <v>49.597297783285626</v>
      </c>
      <c r="AY26" s="7">
        <v>38.145559359571521</v>
      </c>
      <c r="AZ26" s="6">
        <v>1340.0395507799999</v>
      </c>
      <c r="BA26"/>
      <c r="BB26" s="7">
        <v>2903.4</v>
      </c>
      <c r="BC26" s="7">
        <v>506.15392915594435</v>
      </c>
      <c r="BD26" s="7">
        <v>5</v>
      </c>
      <c r="BE26" s="7">
        <v>226.35891853426085</v>
      </c>
      <c r="BF26" s="7">
        <v>3129.7589185342608</v>
      </c>
      <c r="BG26" s="7">
        <v>2677.0410814657394</v>
      </c>
      <c r="BH26">
        <v>22</v>
      </c>
      <c r="BI26" s="6">
        <v>1340.0395507799999</v>
      </c>
      <c r="BJ26"/>
    </row>
    <row r="27" spans="1:62" x14ac:dyDescent="0.2">
      <c r="A27" s="4">
        <v>5.3833333000000003</v>
      </c>
      <c r="B27" s="4">
        <v>0.34944399999999998</v>
      </c>
      <c r="C27" s="4">
        <v>6</v>
      </c>
      <c r="D27" s="4">
        <v>0.14265990000000001</v>
      </c>
      <c r="E27" s="4">
        <v>5.52599325</v>
      </c>
      <c r="F27" s="4">
        <v>5.240673417</v>
      </c>
      <c r="G27" s="5">
        <v>1442</v>
      </c>
      <c r="H27" s="4">
        <v>21</v>
      </c>
      <c r="I27" s="4"/>
      <c r="K27" t="s">
        <v>36</v>
      </c>
      <c r="L27" s="6">
        <v>1441.8370361299999</v>
      </c>
      <c r="M27">
        <v>0.49008723235527357</v>
      </c>
      <c r="N27">
        <v>0.49602744415599226</v>
      </c>
      <c r="O27">
        <v>0.29361501071736423</v>
      </c>
      <c r="P27" s="11">
        <f t="shared" si="0"/>
        <v>0.42657656240954339</v>
      </c>
      <c r="Q27" s="11">
        <f>Table27[[#This Row],[2018 GWC]]*100</f>
        <v>49.008723235527356</v>
      </c>
      <c r="R27" s="11">
        <f>Table27[[#This Row],[2019 GWC]]*100</f>
        <v>49.602744415599226</v>
      </c>
      <c r="S27" s="11">
        <f>Table27[[#This Row],[Avg 2021 GWC]]*100</f>
        <v>29.361501071736424</v>
      </c>
      <c r="T27" s="11">
        <f>AVERAGE(Table27[[#This Row],[2018 GWC (%)]:[Avg 2021 GWC (%)]])</f>
        <v>42.657656240954339</v>
      </c>
      <c r="U27">
        <f>_xlfn.STDEV.S(Table27[[#This Row],[2018 GWC (%)]:[Avg 2021 GWC (%)]])</f>
        <v>11.518638027281382</v>
      </c>
      <c r="V27">
        <f>COUNT(Table27[[#This Row],[2018 GWC (%)]:[Avg 2021 GWC (%)]])</f>
        <v>3</v>
      </c>
      <c r="W27">
        <f>Table27[[#This Row],[SD]]/SQRT(Table27[[#This Row],[Count]])</f>
        <v>6.6502887657487664</v>
      </c>
      <c r="Z27" t="s">
        <v>40</v>
      </c>
      <c r="AA27">
        <v>1159.1307373</v>
      </c>
      <c r="AB27">
        <v>0.13260454555536064</v>
      </c>
      <c r="AC27">
        <v>1.3004955237634862E-2</v>
      </c>
      <c r="AD27">
        <v>3</v>
      </c>
      <c r="AE27">
        <v>7.508414407247521E-3</v>
      </c>
      <c r="AF27">
        <v>0.14011295996260817</v>
      </c>
      <c r="AG27">
        <v>0.1250961311481131</v>
      </c>
      <c r="AJ27">
        <v>200.086684538458</v>
      </c>
      <c r="AK27">
        <v>8.5434714115775794</v>
      </c>
      <c r="AL27">
        <v>3</v>
      </c>
      <c r="AM27">
        <v>4.9325755192881875</v>
      </c>
      <c r="AN27">
        <v>205.01926005774618</v>
      </c>
      <c r="AO27">
        <v>195.15410901916982</v>
      </c>
      <c r="AP27">
        <v>21</v>
      </c>
      <c r="AQ27" s="6">
        <v>1441.8370361299999</v>
      </c>
      <c r="AS27">
        <v>21</v>
      </c>
      <c r="AT27" s="7">
        <v>52.399999999999991</v>
      </c>
      <c r="AU27" s="7">
        <v>28.041516839619543</v>
      </c>
      <c r="AV27" s="7">
        <v>7</v>
      </c>
      <c r="AW27" s="7">
        <v>10.598697134666171</v>
      </c>
      <c r="AX27" s="7">
        <v>62.998697134666159</v>
      </c>
      <c r="AY27" s="7">
        <v>41.801302865333824</v>
      </c>
      <c r="AZ27" s="6">
        <v>1441.8370361299999</v>
      </c>
      <c r="BA27"/>
      <c r="BB27" s="7">
        <v>2870.2222222222222</v>
      </c>
      <c r="BC27" s="7">
        <v>335.90987547918866</v>
      </c>
      <c r="BD27" s="7">
        <v>9</v>
      </c>
      <c r="BE27" s="7">
        <v>111.96995849306289</v>
      </c>
      <c r="BF27" s="7">
        <v>2982.1921807152848</v>
      </c>
      <c r="BG27" s="7">
        <v>2758.2522637291595</v>
      </c>
      <c r="BH27">
        <v>21</v>
      </c>
      <c r="BI27" s="6">
        <v>1441.8370361299999</v>
      </c>
      <c r="BJ27"/>
    </row>
    <row r="28" spans="1:62" x14ac:dyDescent="0.2">
      <c r="A28" s="2">
        <v>5.5777777999999998</v>
      </c>
      <c r="B28" s="2">
        <v>0.48747269999999998</v>
      </c>
      <c r="C28" s="2">
        <v>6</v>
      </c>
      <c r="D28" s="2">
        <v>0.19900989999999999</v>
      </c>
      <c r="E28" s="2">
        <v>5.7767876730000003</v>
      </c>
      <c r="F28" s="2">
        <v>5.3787678830000001</v>
      </c>
      <c r="G28" s="3">
        <v>1527</v>
      </c>
      <c r="H28" s="2">
        <v>20</v>
      </c>
      <c r="I28" s="2"/>
      <c r="K28" t="s">
        <v>35</v>
      </c>
      <c r="L28" s="6">
        <v>1526.9757080100001</v>
      </c>
      <c r="M28">
        <v>0.66269165247018735</v>
      </c>
      <c r="N28">
        <v>0.42436026526856696</v>
      </c>
      <c r="O28">
        <v>0.31132459266350859</v>
      </c>
      <c r="P28" s="11">
        <f t="shared" si="0"/>
        <v>0.46612550346742099</v>
      </c>
      <c r="Q28" s="11">
        <f>Table27[[#This Row],[2018 GWC]]*100</f>
        <v>66.269165247018734</v>
      </c>
      <c r="R28" s="11">
        <f>Table27[[#This Row],[2019 GWC]]*100</f>
        <v>42.436026526856693</v>
      </c>
      <c r="S28" s="11">
        <f>Table27[[#This Row],[Avg 2021 GWC]]*100</f>
        <v>31.13245926635086</v>
      </c>
      <c r="T28" s="11">
        <f>AVERAGE(Table27[[#This Row],[2018 GWC (%)]:[Avg 2021 GWC (%)]])</f>
        <v>46.612550346742097</v>
      </c>
      <c r="U28">
        <f>_xlfn.STDEV.S(Table27[[#This Row],[2018 GWC (%)]:[Avg 2021 GWC (%)]])</f>
        <v>17.936820794291499</v>
      </c>
      <c r="V28">
        <f>COUNT(Table27[[#This Row],[2018 GWC (%)]:[Avg 2021 GWC (%)]])</f>
        <v>3</v>
      </c>
      <c r="W28">
        <f>Table27[[#This Row],[SD]]/SQRT(Table27[[#This Row],[Count]])</f>
        <v>10.355828313990274</v>
      </c>
      <c r="Z28" t="s">
        <v>41</v>
      </c>
      <c r="AA28">
        <v>1113.4626464800001</v>
      </c>
      <c r="AB28">
        <v>2.2834267924707059</v>
      </c>
      <c r="AC28">
        <v>6.9430670488747681E-2</v>
      </c>
      <c r="AD28">
        <v>3</v>
      </c>
      <c r="AE28">
        <v>4.0085816296694679E-2</v>
      </c>
      <c r="AF28">
        <v>2.3235126087674005</v>
      </c>
      <c r="AG28">
        <v>2.2433409761740113</v>
      </c>
      <c r="AJ28">
        <v>138.00121312189336</v>
      </c>
      <c r="AK28">
        <v>20.247080645687937</v>
      </c>
      <c r="AL28">
        <v>3</v>
      </c>
      <c r="AM28">
        <v>11.689657461091993</v>
      </c>
      <c r="AN28">
        <v>149.69087058298535</v>
      </c>
      <c r="AO28">
        <v>126.31155566080136</v>
      </c>
      <c r="AP28">
        <v>20</v>
      </c>
      <c r="AQ28" s="6">
        <v>1526.9757080100001</v>
      </c>
      <c r="AS28">
        <v>20</v>
      </c>
      <c r="AT28" s="7">
        <v>33.14</v>
      </c>
      <c r="AU28" s="7">
        <v>8.4662860806849718</v>
      </c>
      <c r="AV28" s="7">
        <v>5</v>
      </c>
      <c r="AW28" s="7">
        <v>3.7862382386743731</v>
      </c>
      <c r="AX28" s="7">
        <v>36.926238238674372</v>
      </c>
      <c r="AY28" s="7">
        <v>29.353761761325629</v>
      </c>
      <c r="AZ28" s="6">
        <v>1526.9757080100001</v>
      </c>
      <c r="BA28"/>
      <c r="BB28" s="7">
        <v>2609.8000000000002</v>
      </c>
      <c r="BC28" s="7">
        <v>1046.8123996208676</v>
      </c>
      <c r="BD28" s="7">
        <v>5</v>
      </c>
      <c r="BE28" s="7">
        <v>468.14873704838698</v>
      </c>
      <c r="BF28" s="7">
        <v>3077.9487370483871</v>
      </c>
      <c r="BG28" s="7">
        <v>2141.6512629516133</v>
      </c>
      <c r="BH28">
        <v>20</v>
      </c>
      <c r="BI28" s="6">
        <v>1526.9757080100001</v>
      </c>
      <c r="BJ28"/>
    </row>
    <row r="29" spans="1:62" x14ac:dyDescent="0.2">
      <c r="A29" s="4">
        <v>5.3277777999999998</v>
      </c>
      <c r="B29" s="4">
        <v>0.25246930000000001</v>
      </c>
      <c r="C29" s="4">
        <v>6</v>
      </c>
      <c r="D29" s="4">
        <v>0.1030702</v>
      </c>
      <c r="E29" s="4">
        <v>5.4308479319999998</v>
      </c>
      <c r="F29" s="4">
        <v>5.2247076229999996</v>
      </c>
      <c r="G29" s="5">
        <v>1578</v>
      </c>
      <c r="H29" s="4">
        <v>19</v>
      </c>
      <c r="I29" s="4"/>
      <c r="K29" t="s">
        <v>34</v>
      </c>
      <c r="L29" s="6">
        <v>1577.5518798799999</v>
      </c>
      <c r="M29">
        <v>0.79184100418410019</v>
      </c>
      <c r="N29">
        <v>0.54356969794863519</v>
      </c>
      <c r="O29">
        <v>0.3124184694361381</v>
      </c>
      <c r="P29" s="11">
        <f t="shared" si="0"/>
        <v>0.54927639052295785</v>
      </c>
      <c r="Q29" s="11">
        <f>Table27[[#This Row],[2018 GWC]]*100</f>
        <v>79.184100418410026</v>
      </c>
      <c r="R29" s="11">
        <f>Table27[[#This Row],[2019 GWC]]*100</f>
        <v>54.356969794863517</v>
      </c>
      <c r="S29" s="11">
        <f>Table27[[#This Row],[Avg 2021 GWC]]*100</f>
        <v>31.241846943613812</v>
      </c>
      <c r="T29" s="11">
        <f>AVERAGE(Table27[[#This Row],[2018 GWC (%)]:[Avg 2021 GWC (%)]])</f>
        <v>54.927639052295781</v>
      </c>
      <c r="U29">
        <f>_xlfn.STDEV.S(Table27[[#This Row],[2018 GWC (%)]:[Avg 2021 GWC (%)]])</f>
        <v>23.976220815871656</v>
      </c>
      <c r="V29">
        <f>COUNT(Table27[[#This Row],[2018 GWC (%)]:[Avg 2021 GWC (%)]])</f>
        <v>3</v>
      </c>
      <c r="W29">
        <f>Table27[[#This Row],[SD]]/SQRT(Table27[[#This Row],[Count]])</f>
        <v>13.84267754219341</v>
      </c>
      <c r="Z29" t="s">
        <v>42</v>
      </c>
      <c r="AA29">
        <v>995.80053710899995</v>
      </c>
      <c r="AB29">
        <v>1.5447148961374684</v>
      </c>
      <c r="AC29">
        <v>0.12217601468069508</v>
      </c>
      <c r="AD29">
        <v>3</v>
      </c>
      <c r="AE29">
        <v>7.0538354964414976E-2</v>
      </c>
      <c r="AF29">
        <v>1.6152532511018833</v>
      </c>
      <c r="AG29">
        <v>1.4741765411730534</v>
      </c>
      <c r="AJ29">
        <v>234.64331105023447</v>
      </c>
      <c r="AK29">
        <v>15.086256923877901</v>
      </c>
      <c r="AL29">
        <v>3</v>
      </c>
      <c r="AM29">
        <v>8.7100544960647621</v>
      </c>
      <c r="AN29">
        <v>243.35336554629924</v>
      </c>
      <c r="AO29">
        <v>225.9332565541697</v>
      </c>
      <c r="AP29">
        <v>19</v>
      </c>
      <c r="AQ29" s="6">
        <v>1577.5518798799999</v>
      </c>
      <c r="AS29">
        <v>19</v>
      </c>
      <c r="AT29" s="7">
        <v>73.08</v>
      </c>
      <c r="AU29" s="7">
        <v>11.155581562608107</v>
      </c>
      <c r="AV29" s="7">
        <v>5</v>
      </c>
      <c r="AW29" s="7">
        <v>4.9889277405070107</v>
      </c>
      <c r="AX29" s="7">
        <v>78.068927740507007</v>
      </c>
      <c r="AY29" s="7">
        <v>68.091072259492989</v>
      </c>
      <c r="AZ29" s="6">
        <v>1577.5518798799999</v>
      </c>
      <c r="BA29"/>
      <c r="BB29" s="7">
        <v>2718.8</v>
      </c>
      <c r="BC29" s="7">
        <v>560.42590946529162</v>
      </c>
      <c r="BD29" s="7">
        <v>5</v>
      </c>
      <c r="BE29" s="7">
        <v>250.63008598330697</v>
      </c>
      <c r="BF29" s="7">
        <v>2969.430085983307</v>
      </c>
      <c r="BG29" s="7">
        <v>2468.1699140166934</v>
      </c>
      <c r="BH29">
        <v>19</v>
      </c>
      <c r="BI29" s="6">
        <v>1577.5518798799999</v>
      </c>
      <c r="BJ29"/>
    </row>
    <row r="30" spans="1:62" x14ac:dyDescent="0.2">
      <c r="A30" s="2">
        <v>5.3277777999999998</v>
      </c>
      <c r="B30" s="2">
        <v>4.4305299999999999E-2</v>
      </c>
      <c r="C30" s="2">
        <v>6</v>
      </c>
      <c r="D30" s="2">
        <v>1.8087599999999999E-2</v>
      </c>
      <c r="E30" s="2">
        <v>5.345865356</v>
      </c>
      <c r="F30" s="2">
        <v>5.3096901990000003</v>
      </c>
      <c r="G30" s="3">
        <v>1711</v>
      </c>
      <c r="H30" s="2">
        <v>18</v>
      </c>
      <c r="I30" s="2"/>
      <c r="K30" t="s">
        <v>33</v>
      </c>
      <c r="L30" s="6">
        <v>1710.6140136700001</v>
      </c>
      <c r="M30">
        <v>1.304568527918782</v>
      </c>
      <c r="N30">
        <v>0.7872414634997037</v>
      </c>
      <c r="O30">
        <v>0.55581627620901231</v>
      </c>
      <c r="P30" s="11">
        <f t="shared" si="0"/>
        <v>0.88254208920916588</v>
      </c>
      <c r="Q30" s="11">
        <f>Table27[[#This Row],[2018 GWC]]*100</f>
        <v>130.45685279187819</v>
      </c>
      <c r="R30" s="11">
        <f>Table27[[#This Row],[2019 GWC]]*100</f>
        <v>78.724146349970368</v>
      </c>
      <c r="S30" s="11">
        <f>Table27[[#This Row],[Avg 2021 GWC]]*100</f>
        <v>55.58162762090123</v>
      </c>
      <c r="T30" s="11">
        <f>AVERAGE(Table27[[#This Row],[2018 GWC (%)]:[Avg 2021 GWC (%)]])</f>
        <v>88.254208920916597</v>
      </c>
      <c r="U30">
        <f>_xlfn.STDEV.S(Table27[[#This Row],[2018 GWC (%)]:[Avg 2021 GWC (%)]])</f>
        <v>38.336554429887656</v>
      </c>
      <c r="V30">
        <f>COUNT(Table27[[#This Row],[2018 GWC (%)]:[Avg 2021 GWC (%)]])</f>
        <v>3</v>
      </c>
      <c r="W30">
        <f>Table27[[#This Row],[SD]]/SQRT(Table27[[#This Row],[Count]])</f>
        <v>22.13362001989838</v>
      </c>
      <c r="Z30" t="s">
        <v>43</v>
      </c>
      <c r="AA30">
        <v>954.46228027300003</v>
      </c>
      <c r="AB30">
        <v>1.4828856116461633</v>
      </c>
      <c r="AC30">
        <v>8.1276245088254415E-2</v>
      </c>
      <c r="AD30">
        <v>3</v>
      </c>
      <c r="AE30">
        <v>4.692486198042569E-2</v>
      </c>
      <c r="AF30">
        <v>1.529810473626589</v>
      </c>
      <c r="AG30">
        <v>1.4359607496657376</v>
      </c>
      <c r="AJ30">
        <v>202.731145901232</v>
      </c>
      <c r="AK30">
        <v>84.324261775796344</v>
      </c>
      <c r="AL30">
        <v>3</v>
      </c>
      <c r="AM30">
        <v>48.684635235472491</v>
      </c>
      <c r="AN30">
        <v>251.41578113670448</v>
      </c>
      <c r="AO30">
        <v>154.04651066575951</v>
      </c>
      <c r="AP30">
        <v>18</v>
      </c>
      <c r="AQ30" s="6">
        <v>1710.6140136700001</v>
      </c>
      <c r="AS30">
        <v>18</v>
      </c>
      <c r="AT30" s="7">
        <v>71.72</v>
      </c>
      <c r="AU30" s="7">
        <v>11.403376692892261</v>
      </c>
      <c r="AV30" s="7">
        <v>5</v>
      </c>
      <c r="AW30" s="7">
        <v>5.0997450916687672</v>
      </c>
      <c r="AX30" s="7">
        <v>76.819745091668764</v>
      </c>
      <c r="AY30" s="7">
        <v>66.620254908331233</v>
      </c>
      <c r="AZ30" s="6">
        <v>1710.6140136700001</v>
      </c>
      <c r="BA30"/>
      <c r="BB30" s="7">
        <v>2423.1999999999998</v>
      </c>
      <c r="BC30" s="7">
        <v>233.62084667255189</v>
      </c>
      <c r="BD30" s="7">
        <v>5</v>
      </c>
      <c r="BE30" s="7">
        <v>104.47841882417632</v>
      </c>
      <c r="BF30" s="7">
        <v>2527.6784188241763</v>
      </c>
      <c r="BG30" s="7">
        <v>2318.7215811758233</v>
      </c>
      <c r="BH30">
        <v>18</v>
      </c>
      <c r="BI30" s="6">
        <v>1710.6140136700001</v>
      </c>
      <c r="BJ30"/>
    </row>
    <row r="31" spans="1:62" x14ac:dyDescent="0.2">
      <c r="A31" s="4">
        <v>5.1111110999999996</v>
      </c>
      <c r="B31" s="4">
        <v>0.18698390000000001</v>
      </c>
      <c r="C31" s="4">
        <v>6</v>
      </c>
      <c r="D31" s="4">
        <v>7.6335799999999995E-2</v>
      </c>
      <c r="E31" s="4">
        <v>5.1874469510000001</v>
      </c>
      <c r="F31" s="4">
        <v>5.034775271</v>
      </c>
      <c r="G31" s="5">
        <v>1759</v>
      </c>
      <c r="H31" s="4">
        <v>17</v>
      </c>
      <c r="I31" s="4"/>
      <c r="K31" t="s">
        <v>32</v>
      </c>
      <c r="L31" s="6">
        <v>1759.0534668</v>
      </c>
      <c r="M31">
        <v>1.2118742724097789</v>
      </c>
      <c r="N31">
        <v>0.67646956491484445</v>
      </c>
      <c r="O31">
        <v>0.55309561616612901</v>
      </c>
      <c r="P31" s="11">
        <f t="shared" si="0"/>
        <v>0.8138131511635841</v>
      </c>
      <c r="Q31" s="11">
        <f>Table27[[#This Row],[2018 GWC]]*100</f>
        <v>121.18742724097788</v>
      </c>
      <c r="R31" s="11">
        <f>Table27[[#This Row],[2019 GWC]]*100</f>
        <v>67.646956491484445</v>
      </c>
      <c r="S31" s="11">
        <f>Table27[[#This Row],[Avg 2021 GWC]]*100</f>
        <v>55.309561616612903</v>
      </c>
      <c r="T31" s="11">
        <f>AVERAGE(Table27[[#This Row],[2018 GWC (%)]:[Avg 2021 GWC (%)]])</f>
        <v>81.381315116358408</v>
      </c>
      <c r="U31">
        <f>_xlfn.STDEV.S(Table27[[#This Row],[2018 GWC (%)]:[Avg 2021 GWC (%)]])</f>
        <v>35.020676034779207</v>
      </c>
      <c r="V31">
        <f>COUNT(Table27[[#This Row],[2018 GWC (%)]:[Avg 2021 GWC (%)]])</f>
        <v>3</v>
      </c>
      <c r="W31">
        <f>Table27[[#This Row],[SD]]/SQRT(Table27[[#This Row],[Count]])</f>
        <v>20.219196735882452</v>
      </c>
      <c r="Z31" t="s">
        <v>44</v>
      </c>
      <c r="AA31">
        <v>915.71697998000002</v>
      </c>
      <c r="AB31">
        <v>1.62145280852741</v>
      </c>
      <c r="AC31">
        <v>0.3140036540206505</v>
      </c>
      <c r="AD31">
        <v>3</v>
      </c>
      <c r="AE31">
        <v>0.18129009417534869</v>
      </c>
      <c r="AF31">
        <v>1.8027429027027586</v>
      </c>
      <c r="AG31">
        <v>1.4401627143520614</v>
      </c>
      <c r="AJ31">
        <v>438.58130043292522</v>
      </c>
      <c r="AK31">
        <v>80.82948887222075</v>
      </c>
      <c r="AL31">
        <v>3</v>
      </c>
      <c r="AM31">
        <v>46.666927158836515</v>
      </c>
      <c r="AN31">
        <v>485.24822759176175</v>
      </c>
      <c r="AO31">
        <v>391.91437327408869</v>
      </c>
      <c r="AP31">
        <v>17</v>
      </c>
      <c r="AQ31" s="6">
        <v>1759</v>
      </c>
      <c r="AS31">
        <v>17</v>
      </c>
      <c r="AT31" s="7">
        <v>199.26</v>
      </c>
      <c r="AU31" s="7">
        <v>99.032863232363468</v>
      </c>
      <c r="AV31" s="7">
        <v>5</v>
      </c>
      <c r="AW31" s="7">
        <v>44.288842838800853</v>
      </c>
      <c r="AX31" s="7">
        <v>243.54884283880085</v>
      </c>
      <c r="AY31" s="7">
        <v>154.97115716119913</v>
      </c>
      <c r="AZ31" s="6">
        <v>1759</v>
      </c>
      <c r="BA31"/>
      <c r="BB31" s="7">
        <v>3330</v>
      </c>
      <c r="BC31" s="7">
        <v>176.31647682505456</v>
      </c>
      <c r="BD31" s="7">
        <v>5</v>
      </c>
      <c r="BE31" s="7">
        <v>78.851125546817656</v>
      </c>
      <c r="BF31" s="7">
        <v>3408.8511255468175</v>
      </c>
      <c r="BG31" s="7">
        <v>3251.1488744531825</v>
      </c>
      <c r="BH31">
        <v>17</v>
      </c>
      <c r="BI31" s="6">
        <v>1759</v>
      </c>
      <c r="BJ31"/>
    </row>
    <row r="32" spans="1:62" x14ac:dyDescent="0.2">
      <c r="A32" s="2">
        <v>5.4</v>
      </c>
      <c r="B32" s="2">
        <v>0.36636350000000001</v>
      </c>
      <c r="C32" s="2">
        <v>6</v>
      </c>
      <c r="D32" s="2">
        <v>0.14956729999999999</v>
      </c>
      <c r="E32" s="2">
        <v>5.5495672770000004</v>
      </c>
      <c r="F32" s="2">
        <v>5.2504327230000003</v>
      </c>
      <c r="G32" s="3">
        <v>1808</v>
      </c>
      <c r="H32" s="2">
        <v>16</v>
      </c>
      <c r="I32" s="2"/>
      <c r="K32" t="s">
        <v>31</v>
      </c>
      <c r="L32" s="6">
        <v>1807.7528076200001</v>
      </c>
      <c r="M32">
        <v>1.2013333333333336</v>
      </c>
      <c r="N32">
        <v>0.70836717329929988</v>
      </c>
      <c r="O32">
        <v>0.45878679981378778</v>
      </c>
      <c r="P32" s="11">
        <f t="shared" si="0"/>
        <v>0.78949576881547368</v>
      </c>
      <c r="Q32" s="11">
        <f>Table27[[#This Row],[2018 GWC]]*100</f>
        <v>120.13333333333335</v>
      </c>
      <c r="R32" s="11">
        <f>Table27[[#This Row],[2019 GWC]]*100</f>
        <v>70.836717329929982</v>
      </c>
      <c r="S32" s="11">
        <f>Table27[[#This Row],[Avg 2021 GWC]]*100</f>
        <v>45.878679981378781</v>
      </c>
      <c r="T32" s="11">
        <f>AVERAGE(Table27[[#This Row],[2018 GWC (%)]:[Avg 2021 GWC (%)]])</f>
        <v>78.949576881547372</v>
      </c>
      <c r="U32">
        <f>_xlfn.STDEV.S(Table27[[#This Row],[2018 GWC (%)]:[Avg 2021 GWC (%)]])</f>
        <v>37.786270703562877</v>
      </c>
      <c r="V32">
        <f>COUNT(Table27[[#This Row],[2018 GWC (%)]:[Avg 2021 GWC (%)]])</f>
        <v>3</v>
      </c>
      <c r="W32">
        <f>Table27[[#This Row],[SD]]/SQRT(Table27[[#This Row],[Count]])</f>
        <v>21.815913562374099</v>
      </c>
      <c r="Z32" t="s">
        <v>45</v>
      </c>
      <c r="AA32">
        <v>887.72674560500002</v>
      </c>
      <c r="AB32">
        <v>0.10638740331293634</v>
      </c>
      <c r="AC32">
        <v>2.2827113490860591E-2</v>
      </c>
      <c r="AD32">
        <v>3</v>
      </c>
      <c r="AE32">
        <v>1.31792401187705E-2</v>
      </c>
      <c r="AF32">
        <v>0.11956664343170684</v>
      </c>
      <c r="AG32">
        <v>9.3208163194165833E-2</v>
      </c>
      <c r="AJ32">
        <v>306.27181767970393</v>
      </c>
      <c r="AK32">
        <v>72.486431930082929</v>
      </c>
      <c r="AL32">
        <v>3</v>
      </c>
      <c r="AM32">
        <v>41.850060987428868</v>
      </c>
      <c r="AN32">
        <v>348.12187866713282</v>
      </c>
      <c r="AO32">
        <v>264.42175669227504</v>
      </c>
      <c r="AP32">
        <v>16</v>
      </c>
      <c r="AQ32" s="6">
        <v>1807.7528076200001</v>
      </c>
      <c r="AS32">
        <v>16</v>
      </c>
      <c r="AT32" s="7">
        <v>86.42</v>
      </c>
      <c r="AU32" s="7">
        <v>34.524585442840561</v>
      </c>
      <c r="AV32" s="7">
        <v>5</v>
      </c>
      <c r="AW32" s="7">
        <v>15.439863989038233</v>
      </c>
      <c r="AX32" s="7">
        <v>101.85986398903823</v>
      </c>
      <c r="AY32" s="7">
        <v>70.980136010961772</v>
      </c>
      <c r="AZ32" s="6">
        <v>1807.7528076200001</v>
      </c>
      <c r="BA32"/>
      <c r="BB32" s="7">
        <v>2655</v>
      </c>
      <c r="BC32" s="7">
        <v>66.4417037710503</v>
      </c>
      <c r="BD32" s="7">
        <v>5</v>
      </c>
      <c r="BE32" s="7">
        <v>29.713633234594518</v>
      </c>
      <c r="BF32" s="7">
        <v>2684.7136332345945</v>
      </c>
      <c r="BG32" s="7">
        <v>2625.2863667654055</v>
      </c>
      <c r="BH32">
        <v>16</v>
      </c>
      <c r="BI32" s="6">
        <v>1807.7528076200001</v>
      </c>
      <c r="BJ32"/>
    </row>
    <row r="33" spans="1:62" x14ac:dyDescent="0.2">
      <c r="A33" s="4">
        <v>5.1166666999999997</v>
      </c>
      <c r="B33" s="4">
        <v>0.2008316</v>
      </c>
      <c r="C33" s="4">
        <v>6</v>
      </c>
      <c r="D33" s="4">
        <v>8.1989199999999998E-2</v>
      </c>
      <c r="E33" s="4">
        <v>5.1986558260000004</v>
      </c>
      <c r="F33" s="4">
        <v>5.0346775069999996</v>
      </c>
      <c r="G33" s="5">
        <v>1903</v>
      </c>
      <c r="H33" s="4">
        <v>15</v>
      </c>
      <c r="I33" s="4"/>
      <c r="K33" t="s">
        <v>30</v>
      </c>
      <c r="L33" s="6">
        <v>1902.74255371</v>
      </c>
      <c r="M33">
        <v>1.0674300254452926</v>
      </c>
      <c r="N33">
        <v>0.71356356200500326</v>
      </c>
      <c r="O33">
        <v>0.79620525935644315</v>
      </c>
      <c r="P33" s="11">
        <f t="shared" si="0"/>
        <v>0.85906628226891302</v>
      </c>
      <c r="Q33" s="11">
        <f>Table27[[#This Row],[2018 GWC]]*100</f>
        <v>106.74300254452926</v>
      </c>
      <c r="R33" s="11">
        <f>Table27[[#This Row],[2019 GWC]]*100</f>
        <v>71.356356200500329</v>
      </c>
      <c r="S33" s="11">
        <f>Table27[[#This Row],[Avg 2021 GWC]]*100</f>
        <v>79.620525935644309</v>
      </c>
      <c r="T33" s="11">
        <f>AVERAGE(Table27[[#This Row],[2018 GWC (%)]:[Avg 2021 GWC (%)]])</f>
        <v>85.9066282268913</v>
      </c>
      <c r="U33">
        <f>_xlfn.STDEV.S(Table27[[#This Row],[2018 GWC (%)]:[Avg 2021 GWC (%)]])</f>
        <v>18.511887974524846</v>
      </c>
      <c r="V33">
        <f>COUNT(Table27[[#This Row],[2018 GWC (%)]:[Avg 2021 GWC (%)]])</f>
        <v>3</v>
      </c>
      <c r="W33">
        <f>Table27[[#This Row],[SD]]/SQRT(Table27[[#This Row],[Count]])</f>
        <v>10.687843505300117</v>
      </c>
      <c r="Z33" t="s">
        <v>46</v>
      </c>
      <c r="AA33">
        <v>821.85357666000004</v>
      </c>
      <c r="AB33">
        <v>1.0736306326486045</v>
      </c>
      <c r="AC33">
        <v>0.19412972995731934</v>
      </c>
      <c r="AD33">
        <v>3</v>
      </c>
      <c r="AE33">
        <v>0.11208085184856768</v>
      </c>
      <c r="AF33">
        <v>1.1857114844971721</v>
      </c>
      <c r="AG33">
        <v>0.96154978080003684</v>
      </c>
      <c r="AJ33">
        <v>218.09240692521564</v>
      </c>
      <c r="AK33">
        <v>49.425756739490716</v>
      </c>
      <c r="AL33">
        <v>3</v>
      </c>
      <c r="AM33">
        <v>28.535973958445926</v>
      </c>
      <c r="AN33">
        <v>246.62838088366158</v>
      </c>
      <c r="AO33">
        <v>189.55643296676971</v>
      </c>
      <c r="AP33">
        <v>15</v>
      </c>
      <c r="AQ33" s="6">
        <v>1902.74255371</v>
      </c>
      <c r="AS33">
        <v>15</v>
      </c>
      <c r="AT33" s="7">
        <v>396.24</v>
      </c>
      <c r="AU33" s="7">
        <v>163.93531651233658</v>
      </c>
      <c r="AV33" s="7">
        <v>5</v>
      </c>
      <c r="AW33" s="7">
        <v>73.314102326905669</v>
      </c>
      <c r="AX33" s="7">
        <v>469.55410232690565</v>
      </c>
      <c r="AY33" s="7">
        <v>322.92589767309437</v>
      </c>
      <c r="AZ33" s="6">
        <v>1902.74255371</v>
      </c>
      <c r="BA33"/>
      <c r="BB33" s="7">
        <v>1389.8</v>
      </c>
      <c r="BC33" s="7">
        <v>100.12592071986154</v>
      </c>
      <c r="BD33" s="7">
        <v>5</v>
      </c>
      <c r="BE33" s="7">
        <v>44.777673007873013</v>
      </c>
      <c r="BF33" s="7">
        <v>1434.577673007873</v>
      </c>
      <c r="BG33" s="7">
        <v>1345.0223269921269</v>
      </c>
      <c r="BH33">
        <v>15</v>
      </c>
      <c r="BI33" s="6">
        <v>1902.74255371</v>
      </c>
      <c r="BJ33"/>
    </row>
    <row r="34" spans="1:62" x14ac:dyDescent="0.2">
      <c r="A34" s="2">
        <v>5.0333332999999998</v>
      </c>
      <c r="B34" s="2">
        <v>6.9920599999999999E-2</v>
      </c>
      <c r="C34" s="2">
        <v>6</v>
      </c>
      <c r="D34" s="2">
        <v>2.8545000000000001E-2</v>
      </c>
      <c r="E34" s="2">
        <v>5.0618782949999996</v>
      </c>
      <c r="F34" s="2">
        <v>5.0047883720000002</v>
      </c>
      <c r="G34" s="3">
        <v>2035</v>
      </c>
      <c r="H34" s="2">
        <v>14</v>
      </c>
      <c r="I34" s="2"/>
      <c r="K34" t="s">
        <v>29</v>
      </c>
      <c r="L34" s="6">
        <v>2035.1241455100001</v>
      </c>
      <c r="M34">
        <v>0.93503184713375798</v>
      </c>
      <c r="N34">
        <v>0.59242997328537028</v>
      </c>
      <c r="O34">
        <v>0.68935887026340981</v>
      </c>
      <c r="P34" s="11">
        <f t="shared" si="0"/>
        <v>0.73894023022751265</v>
      </c>
      <c r="Q34" s="11">
        <f>Table27[[#This Row],[2018 GWC]]*100</f>
        <v>93.503184713375802</v>
      </c>
      <c r="R34" s="11">
        <f>Table27[[#This Row],[2019 GWC]]*100</f>
        <v>59.242997328537029</v>
      </c>
      <c r="S34" s="11">
        <f>Table27[[#This Row],[Avg 2021 GWC]]*100</f>
        <v>68.935887026340978</v>
      </c>
      <c r="T34" s="11">
        <f>AVERAGE(Table27[[#This Row],[2018 GWC (%)]:[Avg 2021 GWC (%)]])</f>
        <v>73.894023022751284</v>
      </c>
      <c r="U34">
        <f>_xlfn.STDEV.S(Table27[[#This Row],[2018 GWC (%)]:[Avg 2021 GWC (%)]])</f>
        <v>17.660052217653238</v>
      </c>
      <c r="V34">
        <f>COUNT(Table27[[#This Row],[2018 GWC (%)]:[Avg 2021 GWC (%)]])</f>
        <v>3</v>
      </c>
      <c r="W34">
        <f>Table27[[#This Row],[SD]]/SQRT(Table27[[#This Row],[Count]])</f>
        <v>10.196035901764946</v>
      </c>
      <c r="Z34" t="s">
        <v>47</v>
      </c>
      <c r="AA34">
        <v>759.40155029300001</v>
      </c>
      <c r="AB34">
        <v>0.19177505653094304</v>
      </c>
      <c r="AC34">
        <v>2.4819074829710967E-2</v>
      </c>
      <c r="AD34">
        <v>3</v>
      </c>
      <c r="AE34">
        <v>1.4329299533971093E-2</v>
      </c>
      <c r="AF34">
        <v>0.20610435606491412</v>
      </c>
      <c r="AG34">
        <v>0.17744575699697196</v>
      </c>
      <c r="AJ34">
        <v>365.83571918293427</v>
      </c>
      <c r="AK34">
        <v>183.48578758296503</v>
      </c>
      <c r="AL34">
        <v>3</v>
      </c>
      <c r="AM34">
        <v>105.93556885349535</v>
      </c>
      <c r="AN34">
        <v>471.77128803642961</v>
      </c>
      <c r="AO34">
        <v>259.90015032943893</v>
      </c>
      <c r="AP34">
        <v>14</v>
      </c>
      <c r="AQ34" s="6">
        <v>2035.1241455100001</v>
      </c>
      <c r="AS34">
        <v>14</v>
      </c>
      <c r="AT34" s="7">
        <v>441.35999999999996</v>
      </c>
      <c r="AU34" s="7">
        <v>75.864701937067323</v>
      </c>
      <c r="AV34" s="7">
        <v>5</v>
      </c>
      <c r="AW34" s="7">
        <v>33.927726124808501</v>
      </c>
      <c r="AX34" s="7">
        <v>475.28772612480844</v>
      </c>
      <c r="AY34" s="7">
        <v>407.43227387519147</v>
      </c>
      <c r="AZ34" s="6">
        <v>2035.1241455100001</v>
      </c>
      <c r="BA34"/>
      <c r="BB34" s="7">
        <v>1846.2</v>
      </c>
      <c r="BC34" s="7">
        <v>199.81291249566431</v>
      </c>
      <c r="BD34" s="7">
        <v>5</v>
      </c>
      <c r="BE34" s="7">
        <v>89.35905102450451</v>
      </c>
      <c r="BF34" s="7">
        <v>1935.5590510245045</v>
      </c>
      <c r="BG34" s="7">
        <v>1756.8409489754956</v>
      </c>
      <c r="BH34">
        <v>14</v>
      </c>
      <c r="BI34" s="6">
        <v>2035.1241455100001</v>
      </c>
      <c r="BJ34"/>
    </row>
    <row r="35" spans="1:62" x14ac:dyDescent="0.2">
      <c r="A35" s="4">
        <v>4.5055556000000001</v>
      </c>
      <c r="B35" s="4">
        <v>0.14050170000000001</v>
      </c>
      <c r="C35" s="4">
        <v>6</v>
      </c>
      <c r="D35" s="4">
        <v>5.7359599999999997E-2</v>
      </c>
      <c r="E35" s="4">
        <v>4.5629151529999996</v>
      </c>
      <c r="F35" s="4">
        <v>4.4481959580000003</v>
      </c>
      <c r="G35" s="5">
        <v>2122</v>
      </c>
      <c r="H35" s="4">
        <v>13</v>
      </c>
      <c r="I35" s="4"/>
      <c r="K35" t="s">
        <v>28</v>
      </c>
      <c r="L35" s="6">
        <v>2122.2141113299999</v>
      </c>
      <c r="M35">
        <v>0.87179487179487158</v>
      </c>
      <c r="N35">
        <v>0.55603604628832737</v>
      </c>
      <c r="O35">
        <v>0.53779764582909195</v>
      </c>
      <c r="P35" s="11">
        <f t="shared" si="0"/>
        <v>0.65520952130409693</v>
      </c>
      <c r="Q35" s="11">
        <f>Table27[[#This Row],[2018 GWC]]*100</f>
        <v>87.179487179487154</v>
      </c>
      <c r="R35" s="11">
        <f>Table27[[#This Row],[2019 GWC]]*100</f>
        <v>55.603604628832734</v>
      </c>
      <c r="S35" s="11">
        <f>Table27[[#This Row],[Avg 2021 GWC]]*100</f>
        <v>53.779764582909195</v>
      </c>
      <c r="T35" s="11">
        <f>AVERAGE(Table27[[#This Row],[2018 GWC (%)]:[Avg 2021 GWC (%)]])</f>
        <v>65.520952130409697</v>
      </c>
      <c r="U35">
        <f>_xlfn.STDEV.S(Table27[[#This Row],[2018 GWC (%)]:[Avg 2021 GWC (%)]])</f>
        <v>18.778996338525847</v>
      </c>
      <c r="V35">
        <f>COUNT(Table27[[#This Row],[2018 GWC (%)]:[Avg 2021 GWC (%)]])</f>
        <v>3</v>
      </c>
      <c r="W35">
        <f>Table27[[#This Row],[SD]]/SQRT(Table27[[#This Row],[Count]])</f>
        <v>10.842058591158894</v>
      </c>
      <c r="Z35" t="s">
        <v>48</v>
      </c>
      <c r="AA35">
        <v>698.42150878899997</v>
      </c>
      <c r="AB35">
        <v>0.11310609594123676</v>
      </c>
      <c r="AC35">
        <v>2.4111639525162265E-2</v>
      </c>
      <c r="AD35">
        <v>3</v>
      </c>
      <c r="AE35">
        <v>1.3920861570455655E-2</v>
      </c>
      <c r="AF35">
        <v>0.12702695751169241</v>
      </c>
      <c r="AG35">
        <v>9.9185234370781111E-2</v>
      </c>
      <c r="AJ35">
        <v>126.28321783245866</v>
      </c>
      <c r="AK35">
        <v>18.179804389543648</v>
      </c>
      <c r="AL35">
        <v>3</v>
      </c>
      <c r="AM35">
        <v>10.496114958117765</v>
      </c>
      <c r="AN35">
        <v>136.77933279057643</v>
      </c>
      <c r="AO35">
        <v>115.78710287434089</v>
      </c>
      <c r="AP35">
        <v>13</v>
      </c>
      <c r="AQ35" s="6">
        <v>2122.2141113299999</v>
      </c>
      <c r="AS35">
        <v>13</v>
      </c>
      <c r="AT35" s="7">
        <v>535.9</v>
      </c>
      <c r="AU35" s="7">
        <v>117.67665443918766</v>
      </c>
      <c r="AV35" s="7">
        <v>5</v>
      </c>
      <c r="AW35" s="7">
        <v>52.6265997381552</v>
      </c>
      <c r="AX35" s="7">
        <v>588.52659973815514</v>
      </c>
      <c r="AY35" s="7">
        <v>483.27340026184476</v>
      </c>
      <c r="AZ35" s="6">
        <v>2122.2141113299999</v>
      </c>
      <c r="BA35"/>
      <c r="BB35" s="7">
        <v>1175.8</v>
      </c>
      <c r="BC35" s="7">
        <v>35.50633746248689</v>
      </c>
      <c r="BD35" s="7">
        <v>5</v>
      </c>
      <c r="BE35" s="7">
        <v>15.878916839633614</v>
      </c>
      <c r="BF35" s="7">
        <v>1191.6789168396335</v>
      </c>
      <c r="BG35" s="7">
        <v>1159.9210831603664</v>
      </c>
      <c r="BH35">
        <v>13</v>
      </c>
      <c r="BI35" s="6">
        <v>2122.2141113299999</v>
      </c>
      <c r="BJ35"/>
    </row>
    <row r="36" spans="1:62" x14ac:dyDescent="0.2">
      <c r="A36" s="2">
        <v>4.4722222</v>
      </c>
      <c r="B36" s="2">
        <v>4.4305299999999999E-2</v>
      </c>
      <c r="C36" s="2">
        <v>6</v>
      </c>
      <c r="D36" s="2">
        <v>1.8087599999999999E-2</v>
      </c>
      <c r="E36" s="2">
        <v>4.4903098010000004</v>
      </c>
      <c r="F36" s="2">
        <v>4.4541346439999998</v>
      </c>
      <c r="G36" s="3">
        <v>2163</v>
      </c>
      <c r="H36" s="2">
        <v>12</v>
      </c>
      <c r="I36" s="2"/>
      <c r="K36" t="s">
        <v>27</v>
      </c>
      <c r="L36" s="6">
        <v>2162.6936035200001</v>
      </c>
      <c r="M36">
        <v>1.0843060959792477</v>
      </c>
      <c r="N36">
        <v>0.72579420920216631</v>
      </c>
      <c r="O36">
        <v>0.61499013861211194</v>
      </c>
      <c r="P36" s="11">
        <f t="shared" si="0"/>
        <v>0.80836348126450863</v>
      </c>
      <c r="Q36" s="11">
        <f>Table27[[#This Row],[2018 GWC]]*100</f>
        <v>108.43060959792477</v>
      </c>
      <c r="R36" s="11">
        <f>Table27[[#This Row],[2019 GWC]]*100</f>
        <v>72.579420920216634</v>
      </c>
      <c r="S36" s="11">
        <f>Table27[[#This Row],[Avg 2021 GWC]]*100</f>
        <v>61.499013861211196</v>
      </c>
      <c r="T36" s="11">
        <f>AVERAGE(Table27[[#This Row],[2018 GWC (%)]:[Avg 2021 GWC (%)]])</f>
        <v>80.836348126450858</v>
      </c>
      <c r="U36">
        <f>_xlfn.STDEV.S(Table27[[#This Row],[2018 GWC (%)]:[Avg 2021 GWC (%)]])</f>
        <v>24.531129300653241</v>
      </c>
      <c r="V36">
        <f>COUNT(Table27[[#This Row],[2018 GWC (%)]:[Avg 2021 GWC (%)]])</f>
        <v>3</v>
      </c>
      <c r="W36">
        <f>Table27[[#This Row],[SD]]/SQRT(Table27[[#This Row],[Count]])</f>
        <v>14.163054105257665</v>
      </c>
      <c r="Z36" t="s">
        <v>49</v>
      </c>
      <c r="AA36">
        <v>670.68457031299999</v>
      </c>
      <c r="AB36">
        <v>9.7326364479263794E-2</v>
      </c>
      <c r="AC36">
        <v>2.8150521768369654E-2</v>
      </c>
      <c r="AD36">
        <v>3</v>
      </c>
      <c r="AE36">
        <v>1.6252711320796639E-2</v>
      </c>
      <c r="AF36">
        <v>0.11357907580006044</v>
      </c>
      <c r="AG36">
        <v>8.1073653158467152E-2</v>
      </c>
      <c r="AJ36">
        <v>201.46396648707119</v>
      </c>
      <c r="AK36">
        <v>21.166890752592337</v>
      </c>
      <c r="AL36">
        <v>3</v>
      </c>
      <c r="AM36">
        <v>12.220710073916587</v>
      </c>
      <c r="AN36">
        <v>213.68467656098778</v>
      </c>
      <c r="AO36">
        <v>189.2432564131546</v>
      </c>
      <c r="AP36">
        <v>12</v>
      </c>
      <c r="AQ36" s="6">
        <v>2162.6936035200001</v>
      </c>
      <c r="AS36">
        <v>12</v>
      </c>
      <c r="AT36" s="7">
        <v>311.34000000000003</v>
      </c>
      <c r="AU36" s="7">
        <v>77.352201002944952</v>
      </c>
      <c r="AV36" s="7">
        <v>5</v>
      </c>
      <c r="AW36" s="7">
        <v>34.592955930362464</v>
      </c>
      <c r="AX36" s="7">
        <v>345.93295593036248</v>
      </c>
      <c r="AY36" s="7">
        <v>276.74704406963758</v>
      </c>
      <c r="AZ36" s="6">
        <v>2162.6936035200001</v>
      </c>
      <c r="BA36"/>
      <c r="BB36" s="7">
        <v>1179.2</v>
      </c>
      <c r="BC36" s="7">
        <v>39.795728413989359</v>
      </c>
      <c r="BD36" s="7">
        <v>5</v>
      </c>
      <c r="BE36" s="7">
        <v>17.79719078956002</v>
      </c>
      <c r="BF36" s="7">
        <v>1196.9971907895601</v>
      </c>
      <c r="BG36" s="7">
        <v>1161.40280921044</v>
      </c>
      <c r="BH36">
        <v>12</v>
      </c>
      <c r="BI36" s="6">
        <v>2162.6936035200001</v>
      </c>
      <c r="BJ36"/>
    </row>
    <row r="37" spans="1:62" x14ac:dyDescent="0.2">
      <c r="A37" s="4">
        <v>4.4722222</v>
      </c>
      <c r="B37" s="4">
        <v>3.8968200000000001E-2</v>
      </c>
      <c r="C37" s="4">
        <v>6</v>
      </c>
      <c r="D37" s="4">
        <v>1.5908700000000001E-2</v>
      </c>
      <c r="E37" s="4">
        <v>4.4881309119999999</v>
      </c>
      <c r="F37" s="4">
        <v>4.4563135320000002</v>
      </c>
      <c r="G37" s="5">
        <v>2176</v>
      </c>
      <c r="H37" s="4">
        <v>11</v>
      </c>
      <c r="I37" s="4"/>
      <c r="K37" t="s">
        <v>26</v>
      </c>
      <c r="L37" s="6">
        <v>2176.1313476599998</v>
      </c>
      <c r="M37">
        <v>1.3909657320872273</v>
      </c>
      <c r="N37">
        <v>0.55413823084527336</v>
      </c>
      <c r="O37">
        <v>0.58126919723636739</v>
      </c>
      <c r="P37" s="11">
        <f t="shared" si="0"/>
        <v>0.84212438672295598</v>
      </c>
      <c r="Q37" s="11">
        <f>Table27[[#This Row],[2018 GWC]]*100</f>
        <v>139.09657320872273</v>
      </c>
      <c r="R37" s="11">
        <f>Table27[[#This Row],[2019 GWC]]*100</f>
        <v>55.413823084527337</v>
      </c>
      <c r="S37" s="11">
        <f>Table27[[#This Row],[Avg 2021 GWC]]*100</f>
        <v>58.126919723636739</v>
      </c>
      <c r="T37" s="11">
        <f>AVERAGE(Table27[[#This Row],[2018 GWC (%)]:[Avg 2021 GWC (%)]])</f>
        <v>84.212438672295605</v>
      </c>
      <c r="U37">
        <f>_xlfn.STDEV.S(Table27[[#This Row],[2018 GWC (%)]:[Avg 2021 GWC (%)]])</f>
        <v>47.550408948848833</v>
      </c>
      <c r="V37">
        <f>COUNT(Table27[[#This Row],[2018 GWC (%)]:[Avg 2021 GWC (%)]])</f>
        <v>3</v>
      </c>
      <c r="W37">
        <f>Table27[[#This Row],[SD]]/SQRT(Table27[[#This Row],[Count]])</f>
        <v>27.453241406694666</v>
      </c>
      <c r="Z37" t="s">
        <v>50</v>
      </c>
      <c r="AA37">
        <v>613.12280273399995</v>
      </c>
      <c r="AB37">
        <v>0.18836371559158879</v>
      </c>
      <c r="AC37">
        <v>7.7259991810263259E-2</v>
      </c>
      <c r="AD37">
        <v>3</v>
      </c>
      <c r="AE37">
        <v>4.4606077069243778E-2</v>
      </c>
      <c r="AF37">
        <v>0.23296979266083256</v>
      </c>
      <c r="AG37">
        <v>0.14375763852234502</v>
      </c>
      <c r="AJ37">
        <v>255.56213561613004</v>
      </c>
      <c r="AK37">
        <v>26.668556180467618</v>
      </c>
      <c r="AL37">
        <v>3</v>
      </c>
      <c r="AM37">
        <v>15.397098089691639</v>
      </c>
      <c r="AN37">
        <v>270.9592337058217</v>
      </c>
      <c r="AO37">
        <v>240.1650375264384</v>
      </c>
      <c r="AP37">
        <v>11</v>
      </c>
      <c r="AQ37" s="6">
        <v>2176.1313476599998</v>
      </c>
      <c r="AS37">
        <v>11</v>
      </c>
      <c r="AT37" s="7">
        <v>404.68</v>
      </c>
      <c r="AU37" s="7">
        <v>234.78887750487672</v>
      </c>
      <c r="AV37" s="7">
        <v>5</v>
      </c>
      <c r="AW37" s="7">
        <v>105.00077809235511</v>
      </c>
      <c r="AX37" s="7">
        <v>509.68077809235513</v>
      </c>
      <c r="AY37" s="7">
        <v>299.67922190764489</v>
      </c>
      <c r="AZ37" s="6">
        <v>2176.1313476599998</v>
      </c>
      <c r="BA37"/>
      <c r="BB37" s="7">
        <v>1185.04</v>
      </c>
      <c r="BC37" s="7">
        <v>197.98032225451121</v>
      </c>
      <c r="BD37" s="7">
        <v>5</v>
      </c>
      <c r="BE37" s="7">
        <v>88.539491753680295</v>
      </c>
      <c r="BF37" s="7">
        <v>1273.5794917536803</v>
      </c>
      <c r="BG37" s="7">
        <v>1096.5005082463197</v>
      </c>
      <c r="BH37">
        <v>11</v>
      </c>
      <c r="BI37" s="6">
        <v>2176.1313476599998</v>
      </c>
      <c r="BJ37"/>
    </row>
    <row r="38" spans="1:62" x14ac:dyDescent="0.2">
      <c r="A38" s="2">
        <v>4.4111111000000003</v>
      </c>
      <c r="B38" s="2">
        <v>0.2325383</v>
      </c>
      <c r="C38" s="2">
        <v>6</v>
      </c>
      <c r="D38" s="2">
        <v>9.4933400000000001E-2</v>
      </c>
      <c r="E38" s="2">
        <v>4.5060444860000004</v>
      </c>
      <c r="F38" s="2">
        <v>4.3161777360000002</v>
      </c>
      <c r="G38" s="3">
        <v>2238</v>
      </c>
      <c r="H38" s="2">
        <v>10</v>
      </c>
      <c r="I38" s="2"/>
      <c r="K38" t="s">
        <v>25</v>
      </c>
      <c r="L38" s="6">
        <v>2238.2409668</v>
      </c>
      <c r="M38">
        <v>0.96830985915492962</v>
      </c>
      <c r="N38">
        <v>0.77978621857989283</v>
      </c>
      <c r="O38">
        <v>0.61010216934094563</v>
      </c>
      <c r="P38" s="11">
        <f t="shared" si="0"/>
        <v>0.78606608235858932</v>
      </c>
      <c r="Q38" s="11">
        <f>Table27[[#This Row],[2018 GWC]]*100</f>
        <v>96.83098591549296</v>
      </c>
      <c r="R38" s="11">
        <f>Table27[[#This Row],[2019 GWC]]*100</f>
        <v>77.978621857989282</v>
      </c>
      <c r="S38" s="11">
        <f>Table27[[#This Row],[Avg 2021 GWC]]*100</f>
        <v>61.010216934094565</v>
      </c>
      <c r="T38" s="11">
        <f>AVERAGE(Table27[[#This Row],[2018 GWC (%)]:[Avg 2021 GWC (%)]])</f>
        <v>78.606608235858928</v>
      </c>
      <c r="U38">
        <f>_xlfn.STDEV.S(Table27[[#This Row],[2018 GWC (%)]:[Avg 2021 GWC (%)]])</f>
        <v>17.918639674170922</v>
      </c>
      <c r="V38">
        <f>COUNT(Table27[[#This Row],[2018 GWC (%)]:[Avg 2021 GWC (%)]])</f>
        <v>3</v>
      </c>
      <c r="W38">
        <f>Table27[[#This Row],[SD]]/SQRT(Table27[[#This Row],[Count]])</f>
        <v>10.34533143939449</v>
      </c>
      <c r="Z38" t="s">
        <v>51</v>
      </c>
      <c r="AA38">
        <v>584.31420898399995</v>
      </c>
      <c r="AB38">
        <v>0.26845868754993751</v>
      </c>
      <c r="AC38">
        <v>5.3055429007296359E-2</v>
      </c>
      <c r="AD38">
        <v>3</v>
      </c>
      <c r="AE38">
        <v>3.0631566219333634E-2</v>
      </c>
      <c r="AF38">
        <v>0.29909025376927112</v>
      </c>
      <c r="AG38">
        <v>0.23782712133060388</v>
      </c>
      <c r="AJ38">
        <v>63.408063704653252</v>
      </c>
      <c r="AK38">
        <v>12.882246052569844</v>
      </c>
      <c r="AL38">
        <v>3</v>
      </c>
      <c r="AM38">
        <v>7.4375682262181941</v>
      </c>
      <c r="AN38">
        <v>70.845631930871448</v>
      </c>
      <c r="AO38">
        <v>55.970495478435055</v>
      </c>
      <c r="AP38">
        <v>10</v>
      </c>
      <c r="AQ38" s="6">
        <v>2238.2409668</v>
      </c>
      <c r="AS38">
        <v>10</v>
      </c>
      <c r="AT38" s="7">
        <v>729.81999999999994</v>
      </c>
      <c r="AU38" s="7">
        <v>292.53934265325768</v>
      </c>
      <c r="AV38" s="7">
        <v>5</v>
      </c>
      <c r="AW38" s="7">
        <v>130.82757125315757</v>
      </c>
      <c r="AX38" s="7">
        <v>860.64757125315748</v>
      </c>
      <c r="AY38" s="7">
        <v>598.99242874684239</v>
      </c>
      <c r="AZ38" s="6">
        <v>2238.2409668</v>
      </c>
      <c r="BA38"/>
      <c r="BB38" s="7">
        <v>823.5</v>
      </c>
      <c r="BC38" s="7">
        <v>92.152617976919146</v>
      </c>
      <c r="BD38" s="7">
        <v>5</v>
      </c>
      <c r="BE38" s="7">
        <v>41.211903620192068</v>
      </c>
      <c r="BF38" s="7">
        <v>864.71190362019206</v>
      </c>
      <c r="BG38" s="7">
        <v>782.28809637980794</v>
      </c>
      <c r="BH38">
        <v>10</v>
      </c>
      <c r="BI38" s="6">
        <v>2238.2409668</v>
      </c>
      <c r="BJ38"/>
    </row>
    <row r="39" spans="1:62" x14ac:dyDescent="0.2">
      <c r="A39" s="4">
        <v>4.5555555999999999</v>
      </c>
      <c r="B39" s="4">
        <v>0.47500490000000001</v>
      </c>
      <c r="C39" s="4">
        <v>6</v>
      </c>
      <c r="D39" s="4">
        <v>0.19391990000000001</v>
      </c>
      <c r="E39" s="4">
        <v>4.7494754830000003</v>
      </c>
      <c r="F39" s="4">
        <v>4.3616356280000002</v>
      </c>
      <c r="G39" s="5">
        <v>2310</v>
      </c>
      <c r="H39" s="4">
        <v>9</v>
      </c>
      <c r="I39" s="4"/>
      <c r="K39" t="s">
        <v>24</v>
      </c>
      <c r="L39" s="6">
        <v>2310.1774902299999</v>
      </c>
      <c r="M39"/>
      <c r="N39">
        <v>0.55698619036827979</v>
      </c>
      <c r="O39">
        <v>0.7791904707061893</v>
      </c>
      <c r="P39" s="11">
        <f t="shared" si="0"/>
        <v>0.66808833053723449</v>
      </c>
      <c r="Q39" s="11"/>
      <c r="R39" s="11">
        <f>Table27[[#This Row],[2019 GWC]]*100</f>
        <v>55.698619036827978</v>
      </c>
      <c r="S39" s="11">
        <f>Table27[[#This Row],[Avg 2021 GWC]]*100</f>
        <v>77.91904707061893</v>
      </c>
      <c r="T39" s="11">
        <f>AVERAGE(Table27[[#This Row],[2018 GWC (%)]:[Avg 2021 GWC (%)]])</f>
        <v>66.808833053723447</v>
      </c>
      <c r="U39">
        <f>_xlfn.STDEV.S(Table27[[#This Row],[2018 GWC (%)]:[Avg 2021 GWC (%)]])</f>
        <v>15.712215343561299</v>
      </c>
      <c r="V39">
        <f>COUNT(Table27[[#This Row],[2018 GWC (%)]:[Avg 2021 GWC (%)]])</f>
        <v>2</v>
      </c>
      <c r="W39">
        <f>Table27[[#This Row],[SD]]/SQRT(Table27[[#This Row],[Count]])</f>
        <v>11.110214016895513</v>
      </c>
      <c r="Z39" t="s">
        <v>52</v>
      </c>
      <c r="AA39">
        <v>506.78582763700001</v>
      </c>
      <c r="AB39">
        <v>0.79422653740823357</v>
      </c>
      <c r="AC39">
        <v>8.2885373398029302E-2</v>
      </c>
      <c r="AD39">
        <v>3</v>
      </c>
      <c r="AE39">
        <v>4.785389264323487E-2</v>
      </c>
      <c r="AF39">
        <v>0.84208043005146849</v>
      </c>
      <c r="AG39">
        <v>0.74637264476499865</v>
      </c>
      <c r="AJ39">
        <v>50.427463707852162</v>
      </c>
      <c r="AK39">
        <v>0.44632825916944141</v>
      </c>
      <c r="AL39">
        <v>3</v>
      </c>
      <c r="AM39">
        <v>0.25768774057841409</v>
      </c>
      <c r="AN39">
        <v>50.685151448430574</v>
      </c>
      <c r="AO39">
        <v>50.16977596727375</v>
      </c>
      <c r="AP39">
        <v>9</v>
      </c>
      <c r="AQ39" s="6">
        <v>2310.1774902299999</v>
      </c>
      <c r="AS39">
        <v>9</v>
      </c>
      <c r="AT39" s="7">
        <v>526.13333333333333</v>
      </c>
      <c r="AU39" s="7">
        <v>71.125546277926333</v>
      </c>
      <c r="AV39" s="7">
        <v>3</v>
      </c>
      <c r="AW39" s="7">
        <v>41.064353289819955</v>
      </c>
      <c r="AX39" s="7">
        <v>567.19768662315323</v>
      </c>
      <c r="AY39" s="7">
        <v>485.06898004351336</v>
      </c>
      <c r="AZ39" s="6">
        <v>2310.1774902299999</v>
      </c>
      <c r="BA39"/>
      <c r="BB39" s="7">
        <v>463.59999999999997</v>
      </c>
      <c r="BC39" s="7">
        <v>11.321219015636077</v>
      </c>
      <c r="BD39" s="7">
        <v>3</v>
      </c>
      <c r="BE39" s="7">
        <v>6.536308846232199</v>
      </c>
      <c r="BF39" s="7">
        <v>470.13630884623217</v>
      </c>
      <c r="BG39" s="7">
        <v>457.06369115376776</v>
      </c>
      <c r="BH39">
        <v>9</v>
      </c>
      <c r="BI39" s="6">
        <v>2310.1774902299999</v>
      </c>
      <c r="BJ39"/>
    </row>
    <row r="40" spans="1:62" x14ac:dyDescent="0.2">
      <c r="A40" s="2">
        <v>4.7277778000000001</v>
      </c>
      <c r="B40" s="2">
        <v>0.36111969999999999</v>
      </c>
      <c r="C40" s="2">
        <v>6</v>
      </c>
      <c r="D40" s="2">
        <v>0.14742649999999999</v>
      </c>
      <c r="E40" s="2">
        <v>4.8752042610000004</v>
      </c>
      <c r="F40" s="2">
        <v>4.5803512949999998</v>
      </c>
      <c r="G40" s="3">
        <v>2429</v>
      </c>
      <c r="H40" s="2">
        <v>8</v>
      </c>
      <c r="I40" s="2"/>
      <c r="K40" t="s">
        <v>23</v>
      </c>
      <c r="L40" s="6">
        <v>2429.2712402299999</v>
      </c>
      <c r="M40">
        <v>1.5516129032258066</v>
      </c>
      <c r="N40">
        <v>0.60164739861076377</v>
      </c>
      <c r="O40">
        <v>0.72375268326478037</v>
      </c>
      <c r="P40" s="11">
        <f t="shared" si="0"/>
        <v>0.95900432836711691</v>
      </c>
      <c r="Q40" s="11">
        <f>Table27[[#This Row],[2018 GWC]]*100</f>
        <v>155.16129032258067</v>
      </c>
      <c r="R40" s="11">
        <f>Table27[[#This Row],[2019 GWC]]*100</f>
        <v>60.164739861076377</v>
      </c>
      <c r="S40" s="11">
        <f>Table27[[#This Row],[Avg 2021 GWC]]*100</f>
        <v>72.375268326478036</v>
      </c>
      <c r="T40" s="11">
        <f>AVERAGE(Table27[[#This Row],[2018 GWC (%)]:[Avg 2021 GWC (%)]])</f>
        <v>95.900432836711687</v>
      </c>
      <c r="U40">
        <f>_xlfn.STDEV.S(Table27[[#This Row],[2018 GWC (%)]:[Avg 2021 GWC (%)]])</f>
        <v>51.683277506573134</v>
      </c>
      <c r="V40">
        <f>COUNT(Table27[[#This Row],[2018 GWC (%)]:[Avg 2021 GWC (%)]])</f>
        <v>3</v>
      </c>
      <c r="W40">
        <f>Table27[[#This Row],[SD]]/SQRT(Table27[[#This Row],[Count]])</f>
        <v>29.839354181022131</v>
      </c>
      <c r="Z40" t="s">
        <v>53</v>
      </c>
      <c r="AA40">
        <v>459.41976928700001</v>
      </c>
      <c r="AB40">
        <v>0.16652176687641973</v>
      </c>
      <c r="AC40">
        <v>6.8562823137582884E-2</v>
      </c>
      <c r="AD40">
        <v>3</v>
      </c>
      <c r="AE40">
        <v>3.9584764394884182E-2</v>
      </c>
      <c r="AF40">
        <v>0.20610653127130391</v>
      </c>
      <c r="AG40">
        <v>0.12693700248153555</v>
      </c>
      <c r="AJ40">
        <v>116.70225279461006</v>
      </c>
      <c r="AK40">
        <v>27.901117791065982</v>
      </c>
      <c r="AL40">
        <v>3</v>
      </c>
      <c r="AM40">
        <v>16.108717867363403</v>
      </c>
      <c r="AN40">
        <v>132.81097066197347</v>
      </c>
      <c r="AO40">
        <v>100.59353492724665</v>
      </c>
      <c r="AP40">
        <v>8</v>
      </c>
      <c r="AQ40" s="6">
        <v>2429.2712402299999</v>
      </c>
      <c r="AS40">
        <v>8</v>
      </c>
      <c r="AT40" s="7">
        <v>357.86</v>
      </c>
      <c r="AU40" s="7">
        <v>67.889859331125621</v>
      </c>
      <c r="AV40" s="7">
        <v>5</v>
      </c>
      <c r="AW40" s="7">
        <v>30.361268089459056</v>
      </c>
      <c r="AX40" s="7">
        <v>388.22126808945904</v>
      </c>
      <c r="AY40" s="7">
        <v>327.49873191054098</v>
      </c>
      <c r="AZ40" s="6">
        <v>2429.2712402299999</v>
      </c>
      <c r="BA40"/>
      <c r="BB40" s="7">
        <v>1098.5333333333333</v>
      </c>
      <c r="BC40" s="7">
        <v>104.66331735617786</v>
      </c>
      <c r="BD40" s="7">
        <v>9</v>
      </c>
      <c r="BE40" s="7">
        <v>34.887772452059288</v>
      </c>
      <c r="BF40" s="7">
        <v>1133.4211057853927</v>
      </c>
      <c r="BG40" s="7">
        <v>1063.6455608812739</v>
      </c>
      <c r="BH40">
        <v>8</v>
      </c>
      <c r="BI40" s="6">
        <v>2429.2712402299999</v>
      </c>
      <c r="BJ40"/>
    </row>
    <row r="41" spans="1:62" x14ac:dyDescent="0.2">
      <c r="A41" s="4">
        <v>4.5833332999999996</v>
      </c>
      <c r="B41" s="4">
        <v>0.16158929999999999</v>
      </c>
      <c r="C41" s="4">
        <v>6</v>
      </c>
      <c r="D41" s="4">
        <v>6.5968600000000002E-2</v>
      </c>
      <c r="E41" s="4">
        <v>4.6493019000000002</v>
      </c>
      <c r="F41" s="4">
        <v>4.517364766</v>
      </c>
      <c r="G41" s="5">
        <v>2585</v>
      </c>
      <c r="H41" s="4">
        <v>7</v>
      </c>
      <c r="I41" s="4"/>
      <c r="K41" t="s">
        <v>22</v>
      </c>
      <c r="L41" s="6">
        <v>2585.2856445299999</v>
      </c>
      <c r="M41"/>
      <c r="N41">
        <v>0.62744037689501553</v>
      </c>
      <c r="O41">
        <v>0.88067046586025832</v>
      </c>
      <c r="P41" s="11">
        <f t="shared" si="0"/>
        <v>0.75405542137763693</v>
      </c>
      <c r="Q41" s="11"/>
      <c r="R41" s="11">
        <f>Table27[[#This Row],[2019 GWC]]*100</f>
        <v>62.744037689501553</v>
      </c>
      <c r="S41" s="11">
        <f>Table27[[#This Row],[Avg 2021 GWC]]*100</f>
        <v>88.067046586025839</v>
      </c>
      <c r="T41" s="11">
        <f>AVERAGE(Table27[[#This Row],[2018 GWC (%)]:[Avg 2021 GWC (%)]])</f>
        <v>75.405542137763689</v>
      </c>
      <c r="U41">
        <f>_xlfn.STDEV.S(Table27[[#This Row],[2018 GWC (%)]:[Avg 2021 GWC (%)]])</f>
        <v>17.90607131077962</v>
      </c>
      <c r="V41">
        <f>COUNT(Table27[[#This Row],[2018 GWC (%)]:[Avg 2021 GWC (%)]])</f>
        <v>2</v>
      </c>
      <c r="W41">
        <f>Table27[[#This Row],[SD]]/SQRT(Table27[[#This Row],[Count]])</f>
        <v>12.661504448262161</v>
      </c>
      <c r="Z41" t="s">
        <v>54</v>
      </c>
      <c r="AA41">
        <v>436.990478516</v>
      </c>
      <c r="AB41">
        <v>0.25079109392199583</v>
      </c>
      <c r="AC41">
        <v>2.0163567400720363E-2</v>
      </c>
      <c r="AD41">
        <v>3</v>
      </c>
      <c r="AE41">
        <v>1.1641441066629066E-2</v>
      </c>
      <c r="AF41">
        <v>0.2624325349886249</v>
      </c>
      <c r="AG41">
        <v>0.23914965285536677</v>
      </c>
      <c r="AJ41">
        <v>24.285969173452077</v>
      </c>
      <c r="AK41">
        <v>1.4784025734077277</v>
      </c>
      <c r="AL41">
        <v>3</v>
      </c>
      <c r="AM41">
        <v>0.85355612372758716</v>
      </c>
      <c r="AN41">
        <v>25.139525297179663</v>
      </c>
      <c r="AO41">
        <v>23.432413049724492</v>
      </c>
      <c r="AP41">
        <v>7</v>
      </c>
      <c r="AQ41" s="6">
        <v>2585.2856445299999</v>
      </c>
      <c r="AS41">
        <v>7</v>
      </c>
      <c r="AT41" s="7">
        <v>395.6</v>
      </c>
      <c r="AU41" s="7">
        <v>189.75662043786505</v>
      </c>
      <c r="AV41" s="7">
        <v>5</v>
      </c>
      <c r="AW41" s="7">
        <v>84.861740495938434</v>
      </c>
      <c r="AX41" s="7">
        <v>480.46174049593844</v>
      </c>
      <c r="AY41" s="7">
        <v>310.7382595040616</v>
      </c>
      <c r="AZ41" s="6">
        <v>2585.2856445299999</v>
      </c>
      <c r="BA41"/>
      <c r="BB41" s="7">
        <v>544.03333333333342</v>
      </c>
      <c r="BC41" s="7">
        <v>6.5911556902666133</v>
      </c>
      <c r="BD41" s="7">
        <v>3</v>
      </c>
      <c r="BE41" s="7">
        <v>3.8054055120461632</v>
      </c>
      <c r="BF41" s="7">
        <v>547.83873884537957</v>
      </c>
      <c r="BG41" s="7">
        <v>540.22792782128727</v>
      </c>
      <c r="BH41">
        <v>7</v>
      </c>
      <c r="BI41" s="6">
        <v>2585.2856445299999</v>
      </c>
      <c r="BJ41"/>
    </row>
    <row r="42" spans="1:62" x14ac:dyDescent="0.2">
      <c r="A42" s="2">
        <v>4.4222222000000002</v>
      </c>
      <c r="B42" s="2">
        <v>7.79363E-2</v>
      </c>
      <c r="C42" s="2">
        <v>6</v>
      </c>
      <c r="D42" s="2">
        <v>3.1817400000000003E-2</v>
      </c>
      <c r="E42" s="2">
        <v>4.4540396019999999</v>
      </c>
      <c r="F42" s="2">
        <v>4.3904048419999997</v>
      </c>
      <c r="G42" s="3">
        <v>2686</v>
      </c>
      <c r="H42" s="2">
        <v>6</v>
      </c>
      <c r="I42" s="2"/>
      <c r="K42" t="s">
        <v>21</v>
      </c>
      <c r="L42" s="6">
        <v>2686.2336425799999</v>
      </c>
      <c r="M42">
        <v>1.0362116991643453</v>
      </c>
      <c r="N42">
        <v>0.58771603510853265</v>
      </c>
      <c r="O42">
        <v>0.64666805107578618</v>
      </c>
      <c r="P42" s="11">
        <f t="shared" si="0"/>
        <v>0.75686526178288804</v>
      </c>
      <c r="Q42" s="11">
        <f>Table27[[#This Row],[2018 GWC]]*100</f>
        <v>103.62116991643452</v>
      </c>
      <c r="R42" s="11">
        <f>Table27[[#This Row],[2019 GWC]]*100</f>
        <v>58.771603510853268</v>
      </c>
      <c r="S42" s="11">
        <f>Table27[[#This Row],[Avg 2021 GWC]]*100</f>
        <v>64.666805107578611</v>
      </c>
      <c r="T42" s="11">
        <f>AVERAGE(Table27[[#This Row],[2018 GWC (%)]:[Avg 2021 GWC (%)]])</f>
        <v>75.686526178288815</v>
      </c>
      <c r="U42">
        <f>_xlfn.STDEV.S(Table27[[#This Row],[2018 GWC (%)]:[Avg 2021 GWC (%)]])</f>
        <v>24.371019491382569</v>
      </c>
      <c r="V42">
        <f>COUNT(Table27[[#This Row],[2018 GWC (%)]:[Avg 2021 GWC (%)]])</f>
        <v>3</v>
      </c>
      <c r="W42">
        <f>Table27[[#This Row],[SD]]/SQRT(Table27[[#This Row],[Count]])</f>
        <v>14.070614663775343</v>
      </c>
      <c r="Z42" t="s">
        <v>55</v>
      </c>
      <c r="AA42">
        <v>396.48348999000001</v>
      </c>
      <c r="AB42">
        <v>0.33857952198832936</v>
      </c>
      <c r="AC42">
        <v>0.12947818472181666</v>
      </c>
      <c r="AD42">
        <v>3</v>
      </c>
      <c r="AE42">
        <v>7.4754264803324935E-2</v>
      </c>
      <c r="AF42">
        <v>0.41333378679165428</v>
      </c>
      <c r="AG42">
        <v>0.26382525718500444</v>
      </c>
      <c r="AJ42">
        <v>56.779246762918433</v>
      </c>
      <c r="AK42">
        <v>34.305547534504143</v>
      </c>
      <c r="AL42">
        <v>3</v>
      </c>
      <c r="AM42">
        <v>19.806317103743471</v>
      </c>
      <c r="AN42">
        <v>76.5855638666619</v>
      </c>
      <c r="AO42">
        <v>36.972929659174966</v>
      </c>
      <c r="AP42">
        <v>6</v>
      </c>
      <c r="AQ42" s="6">
        <v>2686.2336425799999</v>
      </c>
      <c r="AS42">
        <v>6</v>
      </c>
      <c r="AT42" s="7">
        <v>567.66000000000008</v>
      </c>
      <c r="AU42" s="7">
        <v>236.1424527695095</v>
      </c>
      <c r="AV42" s="7">
        <v>5</v>
      </c>
      <c r="AW42" s="7">
        <v>105.60611535323135</v>
      </c>
      <c r="AX42" s="7">
        <v>673.26611535323138</v>
      </c>
      <c r="AY42" s="7">
        <v>462.05388464676872</v>
      </c>
      <c r="AZ42" s="6">
        <v>2686.2336425799999</v>
      </c>
      <c r="BA42"/>
      <c r="BB42" s="7">
        <v>634.70000000000005</v>
      </c>
      <c r="BC42" s="7">
        <v>154.87567594687047</v>
      </c>
      <c r="BD42" s="7">
        <v>5</v>
      </c>
      <c r="BE42" s="7">
        <v>69.262507895686298</v>
      </c>
      <c r="BF42" s="7">
        <v>703.96250789568637</v>
      </c>
      <c r="BG42" s="7">
        <v>565.43749210431372</v>
      </c>
      <c r="BH42">
        <v>6</v>
      </c>
      <c r="BI42" s="6">
        <v>2686.2336425799999</v>
      </c>
      <c r="BJ42"/>
    </row>
    <row r="43" spans="1:62" x14ac:dyDescent="0.2">
      <c r="A43" s="4">
        <v>4.2444443999999999</v>
      </c>
      <c r="B43" s="4">
        <v>0.1377061</v>
      </c>
      <c r="C43" s="4">
        <v>6</v>
      </c>
      <c r="D43" s="4">
        <v>5.6218299999999999E-2</v>
      </c>
      <c r="E43" s="4">
        <v>4.3006627140000004</v>
      </c>
      <c r="F43" s="4">
        <v>4.1882261749999996</v>
      </c>
      <c r="G43" s="5">
        <v>2818</v>
      </c>
      <c r="H43" s="4">
        <v>5</v>
      </c>
      <c r="I43" s="4"/>
      <c r="K43" t="s">
        <v>20</v>
      </c>
      <c r="L43" s="6">
        <v>2818.2167968799999</v>
      </c>
      <c r="M43"/>
      <c r="N43">
        <v>0.79055892736721001</v>
      </c>
      <c r="O43">
        <v>0.90916963005521145</v>
      </c>
      <c r="P43" s="11">
        <f t="shared" si="0"/>
        <v>0.84986427871121073</v>
      </c>
      <c r="Q43" s="11"/>
      <c r="R43" s="11">
        <f>Table27[[#This Row],[2019 GWC]]*100</f>
        <v>79.055892736721006</v>
      </c>
      <c r="S43" s="11">
        <f>Table27[[#This Row],[Avg 2021 GWC]]*100</f>
        <v>90.91696300552114</v>
      </c>
      <c r="T43" s="11">
        <f>AVERAGE(Table27[[#This Row],[2018 GWC (%)]:[Avg 2021 GWC (%)]])</f>
        <v>84.986427871121066</v>
      </c>
      <c r="U43">
        <f>_xlfn.STDEV.S(Table27[[#This Row],[2018 GWC (%)]:[Avg 2021 GWC (%)]])</f>
        <v>8.3870432191987216</v>
      </c>
      <c r="V43">
        <f>COUNT(Table27[[#This Row],[2018 GWC (%)]:[Avg 2021 GWC (%)]])</f>
        <v>2</v>
      </c>
      <c r="W43">
        <f>Table27[[#This Row],[SD]]/SQRT(Table27[[#This Row],[Count]])</f>
        <v>5.930535134400067</v>
      </c>
      <c r="Z43" t="s">
        <v>56</v>
      </c>
      <c r="AA43">
        <v>377.78582763700001</v>
      </c>
      <c r="AB43">
        <v>0.24478717192426078</v>
      </c>
      <c r="AC43">
        <v>7.3904805056092926E-2</v>
      </c>
      <c r="AD43">
        <v>3</v>
      </c>
      <c r="AE43">
        <v>4.2668959093542069E-2</v>
      </c>
      <c r="AF43">
        <v>0.28745613101780287</v>
      </c>
      <c r="AG43">
        <v>0.20211821283071871</v>
      </c>
      <c r="AJ43">
        <v>22.286010308425919</v>
      </c>
      <c r="AK43">
        <v>0.88389766757957966</v>
      </c>
      <c r="AL43">
        <v>3</v>
      </c>
      <c r="AM43">
        <v>0.5103185563131527</v>
      </c>
      <c r="AN43">
        <v>22.79632886473907</v>
      </c>
      <c r="AO43">
        <v>21.775691752112767</v>
      </c>
      <c r="AP43">
        <v>5</v>
      </c>
      <c r="AQ43" s="6">
        <v>2818.2167968799999</v>
      </c>
      <c r="AS43">
        <v>5</v>
      </c>
      <c r="AT43" s="7">
        <v>517.32000000000005</v>
      </c>
      <c r="AU43" s="7">
        <v>213.47536626037183</v>
      </c>
      <c r="AV43" s="7">
        <v>5</v>
      </c>
      <c r="AW43" s="7">
        <v>95.469086095971292</v>
      </c>
      <c r="AX43" s="7">
        <v>612.78908609597136</v>
      </c>
      <c r="AY43" s="7">
        <v>421.85091390402874</v>
      </c>
      <c r="AZ43" s="6">
        <v>2818.2167968799999</v>
      </c>
      <c r="BA43"/>
      <c r="BB43" s="7">
        <v>814.73333333333323</v>
      </c>
      <c r="BC43" s="7">
        <v>26.818712372769397</v>
      </c>
      <c r="BD43" s="7">
        <v>3</v>
      </c>
      <c r="BE43" s="7">
        <v>15.483790807737559</v>
      </c>
      <c r="BF43" s="7">
        <v>830.21712414107083</v>
      </c>
      <c r="BG43" s="7">
        <v>799.24954252559564</v>
      </c>
      <c r="BH43">
        <v>5</v>
      </c>
      <c r="BI43" s="6">
        <v>2818.2167968799999</v>
      </c>
      <c r="BJ43"/>
    </row>
    <row r="44" spans="1:62" x14ac:dyDescent="0.2">
      <c r="A44" s="2">
        <v>4.1333333000000003</v>
      </c>
      <c r="B44" s="2">
        <v>0.1398412</v>
      </c>
      <c r="C44" s="2">
        <v>6</v>
      </c>
      <c r="D44" s="2">
        <v>5.7089899999999999E-2</v>
      </c>
      <c r="E44" s="2">
        <v>4.1904232559999999</v>
      </c>
      <c r="F44" s="2">
        <v>4.0762434110000001</v>
      </c>
      <c r="G44" s="3">
        <v>2916</v>
      </c>
      <c r="H44" s="2">
        <v>4</v>
      </c>
      <c r="I44" s="2"/>
      <c r="K44" t="s">
        <v>19</v>
      </c>
      <c r="L44" s="6">
        <v>2916.2229003900002</v>
      </c>
      <c r="M44">
        <v>3.078651685393258</v>
      </c>
      <c r="N44">
        <v>0.91230291901475302</v>
      </c>
      <c r="O44">
        <v>1.4200084475865771</v>
      </c>
      <c r="P44" s="11">
        <f t="shared" si="0"/>
        <v>1.8036543506648626</v>
      </c>
      <c r="Q44" s="11">
        <f>Table27[[#This Row],[2018 GWC]]*100</f>
        <v>307.86516853932579</v>
      </c>
      <c r="R44" s="11">
        <f>Table27[[#This Row],[2019 GWC]]*100</f>
        <v>91.230291901475297</v>
      </c>
      <c r="S44" s="11">
        <f>Table27[[#This Row],[Avg 2021 GWC]]*100</f>
        <v>142.00084475865771</v>
      </c>
      <c r="T44" s="11">
        <f>AVERAGE(Table27[[#This Row],[2018 GWC (%)]:[Avg 2021 GWC (%)]])</f>
        <v>180.36543506648627</v>
      </c>
      <c r="U44">
        <f>_xlfn.STDEV.S(Table27[[#This Row],[2018 GWC (%)]:[Avg 2021 GWC (%)]])</f>
        <v>113.29849419162564</v>
      </c>
      <c r="V44">
        <f>COUNT(Table27[[#This Row],[2018 GWC (%)]:[Avg 2021 GWC (%)]])</f>
        <v>3</v>
      </c>
      <c r="W44">
        <f>Table27[[#This Row],[SD]]/SQRT(Table27[[#This Row],[Count]])</f>
        <v>65.412916120314321</v>
      </c>
      <c r="Z44" t="s">
        <v>57</v>
      </c>
      <c r="AA44">
        <v>343.36782836899999</v>
      </c>
      <c r="AB44">
        <v>0.11370463808407137</v>
      </c>
      <c r="AC44">
        <v>2.9205502183959706E-2</v>
      </c>
      <c r="AD44">
        <v>3</v>
      </c>
      <c r="AE44">
        <v>1.686180454772734E-2</v>
      </c>
      <c r="AF44">
        <v>0.1305664426317987</v>
      </c>
      <c r="AG44">
        <v>9.6842833536344028E-2</v>
      </c>
      <c r="AJ44">
        <v>21.796626251410803</v>
      </c>
      <c r="AK44">
        <v>6.6557330840035709</v>
      </c>
      <c r="AL44">
        <v>3</v>
      </c>
      <c r="AM44">
        <v>3.8426892877037599</v>
      </c>
      <c r="AN44">
        <v>25.639315539114563</v>
      </c>
      <c r="AO44">
        <v>17.953936963707044</v>
      </c>
      <c r="AP44">
        <v>4</v>
      </c>
      <c r="AQ44" s="6">
        <v>2916.2229003900002</v>
      </c>
      <c r="AS44">
        <v>4</v>
      </c>
      <c r="AT44" s="7">
        <v>476.48</v>
      </c>
      <c r="AU44" s="7">
        <v>137.67854589586565</v>
      </c>
      <c r="AV44" s="7">
        <v>5</v>
      </c>
      <c r="AW44" s="7">
        <v>61.571717533296052</v>
      </c>
      <c r="AX44" s="7">
        <v>538.05171753329603</v>
      </c>
      <c r="AY44" s="7">
        <v>414.90828246670395</v>
      </c>
      <c r="AZ44" s="6">
        <v>2916.2229003900002</v>
      </c>
      <c r="BA44"/>
      <c r="BB44" s="7">
        <v>851.91999999999985</v>
      </c>
      <c r="BC44" s="7">
        <v>99.078261995254095</v>
      </c>
      <c r="BD44" s="7">
        <v>5</v>
      </c>
      <c r="BE44" s="7">
        <v>44.30914578278442</v>
      </c>
      <c r="BF44" s="7">
        <v>896.22914578278426</v>
      </c>
      <c r="BG44" s="7">
        <v>807.61085421721543</v>
      </c>
      <c r="BH44">
        <v>4</v>
      </c>
      <c r="BI44" s="6">
        <v>2916.2229003900002</v>
      </c>
      <c r="BJ44"/>
    </row>
    <row r="45" spans="1:62" x14ac:dyDescent="0.2">
      <c r="A45" s="4">
        <v>4.0611110999999998</v>
      </c>
      <c r="B45" s="4">
        <v>0.1890522</v>
      </c>
      <c r="C45" s="4">
        <v>6</v>
      </c>
      <c r="D45" s="4">
        <v>7.7180200000000004E-2</v>
      </c>
      <c r="E45" s="4">
        <v>4.1382913549999998</v>
      </c>
      <c r="F45" s="4">
        <v>3.9839308670000002</v>
      </c>
      <c r="G45" s="5">
        <v>3018</v>
      </c>
      <c r="H45" s="4">
        <v>3</v>
      </c>
      <c r="I45" s="4"/>
      <c r="K45" t="s">
        <v>18</v>
      </c>
      <c r="L45" s="6">
        <v>3018.20703125</v>
      </c>
      <c r="M45"/>
      <c r="N45">
        <v>1.370277335863872</v>
      </c>
      <c r="O45">
        <v>1.685705104193542</v>
      </c>
      <c r="P45" s="11">
        <f t="shared" si="0"/>
        <v>1.5279912200287069</v>
      </c>
      <c r="Q45" s="11"/>
      <c r="R45" s="11">
        <f>Table27[[#This Row],[2019 GWC]]*100</f>
        <v>137.0277335863872</v>
      </c>
      <c r="S45" s="11">
        <f>Table27[[#This Row],[Avg 2021 GWC]]*100</f>
        <v>168.57051041935421</v>
      </c>
      <c r="T45" s="11">
        <f>AVERAGE(Table27[[#This Row],[2018 GWC (%)]:[Avg 2021 GWC (%)]])</f>
        <v>152.79912200287072</v>
      </c>
      <c r="U45">
        <f>_xlfn.STDEV.S(Table27[[#This Row],[2018 GWC (%)]:[Avg 2021 GWC (%)]])</f>
        <v>22.304111396044675</v>
      </c>
      <c r="V45">
        <f>COUNT(Table27[[#This Row],[2018 GWC (%)]:[Avg 2021 GWC (%)]])</f>
        <v>2</v>
      </c>
      <c r="W45">
        <f>Table27[[#This Row],[SD]]/SQRT(Table27[[#This Row],[Count]])</f>
        <v>15.771388416483342</v>
      </c>
      <c r="Z45" t="s">
        <v>58</v>
      </c>
      <c r="AA45">
        <v>316</v>
      </c>
      <c r="AB45">
        <v>0.84107630219982765</v>
      </c>
      <c r="AC45">
        <v>0.15996762810531506</v>
      </c>
      <c r="AD45">
        <v>3</v>
      </c>
      <c r="AE45">
        <v>9.2357353148229598E-2</v>
      </c>
      <c r="AF45">
        <v>0.93343365534805722</v>
      </c>
      <c r="AG45">
        <v>0.74871894905159808</v>
      </c>
      <c r="AJ45">
        <v>7.858552924482396</v>
      </c>
      <c r="AK45">
        <v>5.3978827890424936</v>
      </c>
      <c r="AL45">
        <v>3</v>
      </c>
      <c r="AM45">
        <v>3.1164690813077316</v>
      </c>
      <c r="AN45">
        <v>10.975022005790127</v>
      </c>
      <c r="AO45">
        <v>4.7420838431746644</v>
      </c>
      <c r="AP45">
        <v>3</v>
      </c>
      <c r="AQ45" s="6">
        <v>3018.20703125</v>
      </c>
      <c r="AS45">
        <v>3</v>
      </c>
      <c r="AT45" s="7">
        <v>200.51999999999998</v>
      </c>
      <c r="AU45" s="7">
        <v>113.63985656449944</v>
      </c>
      <c r="AV45" s="7">
        <v>5</v>
      </c>
      <c r="AW45" s="7">
        <v>50.821288846309287</v>
      </c>
      <c r="AX45" s="7">
        <v>251.34128884630928</v>
      </c>
      <c r="AY45" s="7">
        <v>149.69871115369068</v>
      </c>
      <c r="AZ45" s="6">
        <v>3018.20703125</v>
      </c>
      <c r="BA45"/>
      <c r="BB45" s="7">
        <v>452.7</v>
      </c>
      <c r="BC45" s="7">
        <v>9.013878188659973</v>
      </c>
      <c r="BD45" s="7">
        <v>3</v>
      </c>
      <c r="BE45" s="7">
        <v>5.2041649986653322</v>
      </c>
      <c r="BF45" s="7">
        <v>457.90416499866529</v>
      </c>
      <c r="BG45" s="7">
        <v>447.49583500133468</v>
      </c>
      <c r="BH45">
        <v>3</v>
      </c>
      <c r="BI45" s="6">
        <v>3018.20703125</v>
      </c>
      <c r="BJ45"/>
    </row>
    <row r="46" spans="1:62" x14ac:dyDescent="0.2">
      <c r="A46" s="2">
        <v>4.5166667</v>
      </c>
      <c r="B46" s="2">
        <v>0.38571719999999998</v>
      </c>
      <c r="C46" s="2">
        <v>6</v>
      </c>
      <c r="D46" s="2">
        <v>0.15746840000000001</v>
      </c>
      <c r="E46" s="2">
        <v>4.6741350639999997</v>
      </c>
      <c r="F46" s="2">
        <v>4.3591982690000002</v>
      </c>
      <c r="G46" s="3">
        <v>3123</v>
      </c>
      <c r="H46" s="2">
        <v>2</v>
      </c>
      <c r="I46" s="2"/>
      <c r="K46" t="s">
        <v>17</v>
      </c>
      <c r="L46" s="6">
        <v>3123.3532714799999</v>
      </c>
      <c r="M46">
        <v>3.4750000000000001</v>
      </c>
      <c r="N46">
        <v>1.5854152927027971</v>
      </c>
      <c r="O46">
        <v>1.8942833946680515</v>
      </c>
      <c r="P46" s="11">
        <f t="shared" si="0"/>
        <v>2.3182328957902829</v>
      </c>
      <c r="Q46" s="11">
        <f>Table27[[#This Row],[2018 GWC]]*100</f>
        <v>347.5</v>
      </c>
      <c r="R46" s="11">
        <f>Table27[[#This Row],[2019 GWC]]*100</f>
        <v>158.54152927027971</v>
      </c>
      <c r="S46" s="11">
        <f>Table27[[#This Row],[Avg 2021 GWC]]*100</f>
        <v>189.42833946680514</v>
      </c>
      <c r="T46" s="11">
        <f>AVERAGE(Table27[[#This Row],[2018 GWC (%)]:[Avg 2021 GWC (%)]])</f>
        <v>231.82328957902828</v>
      </c>
      <c r="U46">
        <f>_xlfn.STDEV.S(Table27[[#This Row],[2018 GWC (%)]:[Avg 2021 GWC (%)]])</f>
        <v>101.36234390241792</v>
      </c>
      <c r="V46">
        <f>COUNT(Table27[[#This Row],[2018 GWC (%)]:[Avg 2021 GWC (%)]])</f>
        <v>3</v>
      </c>
      <c r="W46">
        <f>Table27[[#This Row],[SD]]/SQRT(Table27[[#This Row],[Count]])</f>
        <v>58.521576537752409</v>
      </c>
      <c r="Z46" t="s">
        <v>59</v>
      </c>
      <c r="AA46">
        <v>303.63504028300002</v>
      </c>
      <c r="AB46">
        <v>1.2129639113210984</v>
      </c>
      <c r="AC46">
        <v>3.4099291133439034E-2</v>
      </c>
      <c r="AD46">
        <v>3</v>
      </c>
      <c r="AE46">
        <v>1.9687234915066448E-2</v>
      </c>
      <c r="AF46">
        <v>1.2326511462361649</v>
      </c>
      <c r="AG46">
        <v>1.1932766764060319</v>
      </c>
      <c r="AJ46">
        <v>276.22818912275238</v>
      </c>
      <c r="AK46">
        <v>381.79086610747925</v>
      </c>
      <c r="AL46">
        <v>3</v>
      </c>
      <c r="AM46">
        <v>220.42705932129351</v>
      </c>
      <c r="AN46">
        <v>496.65524844404592</v>
      </c>
      <c r="AO46">
        <v>55.80112980145887</v>
      </c>
      <c r="AP46">
        <v>2</v>
      </c>
      <c r="AQ46" s="6">
        <v>3123.3532714799999</v>
      </c>
      <c r="AS46">
        <v>2</v>
      </c>
      <c r="AT46" s="7">
        <v>226.48750000000001</v>
      </c>
      <c r="AU46" s="7">
        <v>56.291065962040989</v>
      </c>
      <c r="AV46" s="10">
        <v>8</v>
      </c>
      <c r="AW46" s="10">
        <v>19.901897230989213</v>
      </c>
      <c r="AX46" s="10">
        <v>246.38939723098923</v>
      </c>
      <c r="AY46" s="10">
        <v>206.58560276901079</v>
      </c>
      <c r="AZ46" s="6">
        <v>3123.3532714799999</v>
      </c>
      <c r="BA46"/>
      <c r="BB46" s="7">
        <v>479.80000000000007</v>
      </c>
      <c r="BC46" s="7">
        <v>58.193878544052538</v>
      </c>
      <c r="BD46" s="7">
        <v>9</v>
      </c>
      <c r="BE46" s="7">
        <v>19.397959514684178</v>
      </c>
      <c r="BF46" s="7">
        <v>499.19795951468427</v>
      </c>
      <c r="BG46" s="7">
        <v>460.40204048531587</v>
      </c>
      <c r="BH46">
        <v>2</v>
      </c>
      <c r="BI46" s="6">
        <v>3123.3532714799999</v>
      </c>
      <c r="BJ46"/>
    </row>
    <row r="47" spans="1:62" x14ac:dyDescent="0.2">
      <c r="A47" s="4">
        <v>4.1500000000000004</v>
      </c>
      <c r="B47" s="4">
        <v>8.3666000000000004E-2</v>
      </c>
      <c r="C47" s="4">
        <v>6</v>
      </c>
      <c r="D47" s="4">
        <v>3.4156499999999999E-2</v>
      </c>
      <c r="E47" s="4">
        <v>4.1841565029999996</v>
      </c>
      <c r="F47" s="4">
        <v>4.1158434970000002</v>
      </c>
      <c r="G47" s="5">
        <v>3238</v>
      </c>
      <c r="H47" s="4">
        <v>1</v>
      </c>
      <c r="I47" s="4"/>
      <c r="K47" t="s">
        <v>16</v>
      </c>
      <c r="L47" s="6">
        <v>3237.9897460900002</v>
      </c>
      <c r="M47"/>
      <c r="N47">
        <v>2.0275921611297059</v>
      </c>
      <c r="O47">
        <v>2.1562062202360406</v>
      </c>
      <c r="P47" s="11">
        <f t="shared" si="0"/>
        <v>2.0918991906828732</v>
      </c>
      <c r="Q47" s="11"/>
      <c r="R47" s="11">
        <f>Table27[[#This Row],[2019 GWC]]*100</f>
        <v>202.75921611297059</v>
      </c>
      <c r="S47" s="11">
        <f>Table27[[#This Row],[Avg 2021 GWC]]*100</f>
        <v>215.62062202360406</v>
      </c>
      <c r="T47" s="11">
        <f>AVERAGE(Table27[[#This Row],[2018 GWC (%)]:[Avg 2021 GWC (%)]])</f>
        <v>209.18991906828734</v>
      </c>
      <c r="U47">
        <f>_xlfn.STDEV.S(Table27[[#This Row],[2018 GWC (%)]:[Avg 2021 GWC (%)]])</f>
        <v>9.0943873350016666</v>
      </c>
      <c r="V47">
        <f>COUNT(Table27[[#This Row],[2018 GWC (%)]:[Avg 2021 GWC (%)]])</f>
        <v>2</v>
      </c>
      <c r="W47">
        <f>Table27[[#This Row],[SD]]/SQRT(Table27[[#This Row],[Count]])</f>
        <v>6.4307029553167325</v>
      </c>
      <c r="Z47" t="s">
        <v>60</v>
      </c>
      <c r="AA47">
        <v>284.71322631800001</v>
      </c>
      <c r="AB47">
        <v>1.1089834168996717</v>
      </c>
      <c r="AC47">
        <v>2.1100062777872054E-2</v>
      </c>
      <c r="AD47">
        <v>3</v>
      </c>
      <c r="AE47">
        <v>1.2182126924722434E-2</v>
      </c>
      <c r="AF47">
        <v>1.1211655438243942</v>
      </c>
      <c r="AG47">
        <v>1.0968012899749493</v>
      </c>
      <c r="AJ47">
        <v>81.788315542726664</v>
      </c>
      <c r="AK47">
        <v>10.456554975291724</v>
      </c>
      <c r="AL47">
        <v>3</v>
      </c>
      <c r="AM47">
        <v>6.0370948297807976</v>
      </c>
      <c r="AN47">
        <v>87.825410372507463</v>
      </c>
      <c r="AO47">
        <v>75.751220712945866</v>
      </c>
      <c r="AP47">
        <v>1</v>
      </c>
      <c r="AQ47" s="6">
        <v>3237.9897460900002</v>
      </c>
      <c r="AS47">
        <v>1</v>
      </c>
      <c r="AT47" s="7">
        <v>223.3</v>
      </c>
      <c r="AU47" s="7">
        <v>57.455461011117038</v>
      </c>
      <c r="AV47" s="10">
        <v>5</v>
      </c>
      <c r="AW47" s="10">
        <v>25.694863299889299</v>
      </c>
      <c r="AX47" s="10">
        <v>248.99486329988932</v>
      </c>
      <c r="AY47" s="10">
        <v>197.60513670011071</v>
      </c>
      <c r="AZ47" s="6">
        <v>3237.9897460900002</v>
      </c>
      <c r="BA47"/>
      <c r="BB47" s="7">
        <v>644.09999999999991</v>
      </c>
      <c r="BC47" s="7">
        <v>6.1878914017620108</v>
      </c>
      <c r="BD47" s="7">
        <v>3</v>
      </c>
      <c r="BE47" s="7">
        <v>3.5725807665234677</v>
      </c>
      <c r="BF47" s="7">
        <v>647.67258076652342</v>
      </c>
      <c r="BG47" s="7">
        <v>640.52741923347639</v>
      </c>
      <c r="BH47">
        <v>1</v>
      </c>
      <c r="BI47" s="6">
        <v>3237.9897460900002</v>
      </c>
      <c r="BJ47"/>
    </row>
    <row r="48" spans="1:62" x14ac:dyDescent="0.2">
      <c r="A48" s="4"/>
      <c r="B48" s="4"/>
      <c r="C48" s="4"/>
      <c r="D48" s="4"/>
      <c r="E48" s="4"/>
      <c r="F48" s="4"/>
      <c r="G48" s="4"/>
      <c r="H48" s="4"/>
      <c r="I48" s="4"/>
      <c r="N48" s="15" t="s">
        <v>73</v>
      </c>
      <c r="O48" s="13" t="s">
        <v>74</v>
      </c>
      <c r="AA48" t="s">
        <v>61</v>
      </c>
      <c r="AB48">
        <v>294.68939209000001</v>
      </c>
      <c r="AC48">
        <v>0.52133092274371073</v>
      </c>
      <c r="AD48">
        <v>0.14103156332607145</v>
      </c>
      <c r="AE48">
        <v>3</v>
      </c>
      <c r="AF48">
        <v>8.1424611050541107E-2</v>
      </c>
      <c r="AG48">
        <v>0.60275553379425184</v>
      </c>
    </row>
    <row r="49" spans="1:15" x14ac:dyDescent="0.2">
      <c r="A49" s="4"/>
      <c r="B49" s="4"/>
      <c r="C49" s="4"/>
      <c r="D49" s="4"/>
      <c r="E49" s="4"/>
      <c r="F49" s="4"/>
      <c r="G49" s="4"/>
      <c r="H49" s="4"/>
      <c r="I49" s="4"/>
      <c r="N49" s="15"/>
      <c r="O49" s="14" t="s">
        <v>75</v>
      </c>
    </row>
    <row r="50" spans="1:15" x14ac:dyDescent="0.2">
      <c r="A50" s="4"/>
      <c r="B50" s="4"/>
      <c r="C50" s="4"/>
      <c r="D50" s="4"/>
      <c r="E50" s="4"/>
      <c r="F50" s="4"/>
      <c r="G50" s="4"/>
      <c r="H50" s="4"/>
      <c r="I50" s="4"/>
      <c r="K50" s="9"/>
    </row>
    <row r="51" spans="1:15" x14ac:dyDescent="0.2">
      <c r="A51" s="4"/>
      <c r="B51" s="4"/>
      <c r="C51" s="4"/>
      <c r="D51" s="4"/>
      <c r="E51" s="4"/>
      <c r="F51" s="4"/>
      <c r="G51" s="4"/>
      <c r="H51" s="4"/>
      <c r="I51" s="4"/>
      <c r="K51" s="9"/>
    </row>
    <row r="52" spans="1:15" x14ac:dyDescent="0.2">
      <c r="A52" s="4"/>
      <c r="B52" s="4"/>
      <c r="C52" s="4"/>
      <c r="D52" s="4"/>
      <c r="E52" s="4"/>
      <c r="F52" s="4"/>
      <c r="G52" s="4"/>
      <c r="H52" s="4"/>
      <c r="I52" s="4"/>
    </row>
    <row r="53" spans="1:15" x14ac:dyDescent="0.2">
      <c r="A53" s="4"/>
      <c r="B53" s="4"/>
      <c r="C53" s="4"/>
      <c r="D53" s="4"/>
      <c r="E53" s="4"/>
      <c r="F53" s="4"/>
      <c r="G53" s="4"/>
      <c r="H53" s="4"/>
      <c r="I53" s="4"/>
    </row>
    <row r="54" spans="1:15" x14ac:dyDescent="0.2">
      <c r="A54" s="4"/>
      <c r="B54" s="4"/>
      <c r="C54" s="4"/>
      <c r="D54" s="4"/>
      <c r="E54" s="4"/>
      <c r="F54" s="4"/>
      <c r="G54" s="4"/>
      <c r="H54" s="4"/>
      <c r="I54" s="4"/>
    </row>
    <row r="55" spans="1:15" x14ac:dyDescent="0.2">
      <c r="A55" s="4"/>
      <c r="B55" s="4"/>
      <c r="C55" s="4"/>
      <c r="D55" s="4"/>
      <c r="E55" s="4"/>
      <c r="F55" s="4"/>
      <c r="G55" s="4"/>
      <c r="H55" s="4"/>
      <c r="I55" s="4"/>
    </row>
    <row r="56" spans="1:15" x14ac:dyDescent="0.2">
      <c r="A56" s="4"/>
      <c r="B56" s="4"/>
      <c r="C56" s="4"/>
      <c r="D56" s="4"/>
      <c r="E56" s="4"/>
      <c r="F56" s="4"/>
      <c r="G56" s="4"/>
      <c r="H56" s="4"/>
      <c r="I56" s="4"/>
    </row>
    <row r="57" spans="1:15" x14ac:dyDescent="0.2">
      <c r="A57" s="4"/>
      <c r="B57" s="4"/>
      <c r="C57" s="4"/>
      <c r="D57" s="4"/>
      <c r="E57" s="4"/>
      <c r="F57" s="4"/>
      <c r="G57" s="4"/>
      <c r="H57" s="4"/>
      <c r="I57" s="4"/>
    </row>
    <row r="58" spans="1:15" x14ac:dyDescent="0.2">
      <c r="A58" s="4"/>
      <c r="B58" s="4"/>
      <c r="C58" s="4"/>
      <c r="D58" s="4"/>
      <c r="E58" s="4"/>
      <c r="F58" s="4"/>
      <c r="G58" s="4"/>
      <c r="H58" s="4"/>
      <c r="I58" s="4"/>
    </row>
    <row r="59" spans="1:15" x14ac:dyDescent="0.2">
      <c r="A59" s="4"/>
      <c r="B59" s="4"/>
      <c r="C59" s="4"/>
      <c r="D59" s="4"/>
      <c r="E59" s="4"/>
      <c r="F59" s="4"/>
      <c r="G59" s="4"/>
      <c r="H59" s="4"/>
      <c r="I59" s="4"/>
    </row>
    <row r="60" spans="1:15" x14ac:dyDescent="0.2">
      <c r="A60" s="4"/>
      <c r="B60" s="4"/>
      <c r="C60" s="4"/>
      <c r="D60" s="4"/>
      <c r="E60" s="4"/>
      <c r="F60" s="4"/>
      <c r="G60" s="4"/>
      <c r="H60" s="4"/>
      <c r="I60" s="4"/>
    </row>
    <row r="61" spans="1:15" x14ac:dyDescent="0.2">
      <c r="A61" s="4"/>
      <c r="B61" s="4"/>
      <c r="C61" s="4"/>
      <c r="D61" s="4"/>
      <c r="E61" s="4"/>
      <c r="F61" s="4"/>
      <c r="G61" s="4"/>
      <c r="H61" s="4"/>
      <c r="I61" s="4"/>
    </row>
    <row r="62" spans="1:15" x14ac:dyDescent="0.2">
      <c r="A62" s="4"/>
      <c r="B62" s="4"/>
      <c r="C62" s="4"/>
      <c r="D62" s="4"/>
      <c r="E62" s="4"/>
      <c r="F62" s="4"/>
      <c r="G62" s="4"/>
      <c r="H62" s="4"/>
      <c r="I62" s="4"/>
    </row>
    <row r="63" spans="1:15" x14ac:dyDescent="0.2">
      <c r="A63" s="4"/>
      <c r="B63" s="4"/>
      <c r="C63" s="4"/>
      <c r="D63" s="4"/>
      <c r="E63" s="4"/>
      <c r="F63" s="4"/>
      <c r="G63" s="4"/>
      <c r="H63" s="4"/>
      <c r="I63" s="4"/>
    </row>
    <row r="64" spans="1:15" x14ac:dyDescent="0.2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">
      <c r="A172" s="4"/>
      <c r="B172" s="4"/>
      <c r="C172" s="4"/>
      <c r="D172" s="4"/>
      <c r="E172" s="4"/>
      <c r="F172" s="4"/>
      <c r="G172" s="4"/>
      <c r="H172" s="4"/>
      <c r="I172" s="4"/>
    </row>
    <row r="173" spans="1:9" x14ac:dyDescent="0.2">
      <c r="A173" s="4"/>
      <c r="B173" s="4"/>
      <c r="C173" s="4"/>
      <c r="D173" s="4"/>
      <c r="E173" s="4"/>
      <c r="F173" s="4"/>
      <c r="G173" s="4"/>
      <c r="H173" s="4"/>
      <c r="I173" s="4"/>
    </row>
    <row r="174" spans="1:9" x14ac:dyDescent="0.2">
      <c r="A174" s="4"/>
      <c r="B174" s="4"/>
      <c r="C174" s="4"/>
      <c r="D174" s="4"/>
      <c r="E174" s="4"/>
      <c r="F174" s="4"/>
      <c r="G174" s="4"/>
      <c r="H174" s="4"/>
      <c r="I174" s="4"/>
    </row>
    <row r="175" spans="1:9" x14ac:dyDescent="0.2">
      <c r="A175" s="4"/>
      <c r="B175" s="4"/>
      <c r="C175" s="4"/>
      <c r="D175" s="4"/>
      <c r="E175" s="4"/>
      <c r="F175" s="4"/>
      <c r="G175" s="4"/>
      <c r="H175" s="4"/>
      <c r="I175" s="4"/>
    </row>
    <row r="176" spans="1:9" x14ac:dyDescent="0.2">
      <c r="A176" s="4"/>
      <c r="B176" s="4"/>
      <c r="C176" s="4"/>
      <c r="D176" s="4"/>
      <c r="E176" s="4"/>
      <c r="F176" s="4"/>
      <c r="G176" s="4"/>
      <c r="H176" s="4"/>
      <c r="I176" s="4"/>
    </row>
    <row r="177" spans="1:9" x14ac:dyDescent="0.2">
      <c r="A177" s="4"/>
      <c r="B177" s="4"/>
      <c r="C177" s="4"/>
      <c r="D177" s="4"/>
      <c r="E177" s="4"/>
      <c r="F177" s="4"/>
      <c r="G177" s="4"/>
      <c r="H177" s="4"/>
      <c r="I177" s="4"/>
    </row>
    <row r="178" spans="1:9" x14ac:dyDescent="0.2">
      <c r="A178" s="4"/>
      <c r="B178" s="4"/>
      <c r="C178" s="4"/>
      <c r="D178" s="4"/>
      <c r="E178" s="4"/>
      <c r="F178" s="4"/>
      <c r="G178" s="4"/>
      <c r="H178" s="4"/>
      <c r="I178" s="4"/>
    </row>
    <row r="179" spans="1:9" x14ac:dyDescent="0.2">
      <c r="A179" s="4"/>
      <c r="B179" s="4"/>
      <c r="C179" s="4"/>
      <c r="D179" s="4"/>
      <c r="E179" s="4"/>
      <c r="F179" s="4"/>
      <c r="G179" s="4"/>
      <c r="H179" s="4"/>
      <c r="I179" s="4"/>
    </row>
    <row r="180" spans="1:9" x14ac:dyDescent="0.2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">
      <c r="A181" s="4"/>
      <c r="B181" s="4"/>
      <c r="C181" s="4"/>
      <c r="D181" s="4"/>
      <c r="E181" s="4"/>
      <c r="F181" s="4"/>
      <c r="G181" s="4"/>
      <c r="H181" s="4"/>
      <c r="I181" s="4"/>
    </row>
    <row r="182" spans="1:9" x14ac:dyDescent="0.2">
      <c r="A182" s="4"/>
      <c r="B182" s="4"/>
      <c r="C182" s="4"/>
      <c r="D182" s="4"/>
      <c r="E182" s="4"/>
      <c r="F182" s="4"/>
      <c r="G182" s="4"/>
      <c r="H182" s="4"/>
      <c r="I182" s="4"/>
    </row>
    <row r="183" spans="1:9" x14ac:dyDescent="0.2">
      <c r="A183" s="4"/>
      <c r="B183" s="4"/>
      <c r="C183" s="4"/>
      <c r="D183" s="4"/>
      <c r="E183" s="4"/>
      <c r="F183" s="4"/>
      <c r="G183" s="4"/>
      <c r="H183" s="4"/>
      <c r="I183" s="4"/>
    </row>
    <row r="184" spans="1:9" x14ac:dyDescent="0.2">
      <c r="A184" s="4"/>
      <c r="B184" s="4"/>
      <c r="C184" s="4"/>
      <c r="D184" s="4"/>
      <c r="E184" s="4"/>
      <c r="F184" s="4"/>
      <c r="G184" s="4"/>
      <c r="H184" s="4"/>
      <c r="I184" s="4"/>
    </row>
    <row r="185" spans="1:9" x14ac:dyDescent="0.2">
      <c r="A185" s="4"/>
      <c r="B185" s="4"/>
      <c r="C185" s="4"/>
      <c r="D185" s="4"/>
      <c r="E185" s="4"/>
      <c r="F185" s="4"/>
      <c r="G185" s="4"/>
      <c r="H185" s="4"/>
      <c r="I185" s="4"/>
    </row>
    <row r="186" spans="1:9" x14ac:dyDescent="0.2">
      <c r="A186" s="4"/>
      <c r="B186" s="4"/>
      <c r="C186" s="4"/>
      <c r="D186" s="4"/>
      <c r="E186" s="4"/>
      <c r="F186" s="4"/>
      <c r="G186" s="4"/>
      <c r="H186" s="4"/>
      <c r="I186" s="4"/>
    </row>
    <row r="187" spans="1:9" x14ac:dyDescent="0.2">
      <c r="A187" s="4"/>
      <c r="B187" s="4"/>
      <c r="C187" s="4"/>
      <c r="D187" s="4"/>
      <c r="E187" s="4"/>
      <c r="F187" s="4"/>
      <c r="G187" s="4"/>
      <c r="H187" s="4"/>
      <c r="I187" s="4"/>
    </row>
    <row r="188" spans="1:9" x14ac:dyDescent="0.2">
      <c r="A188" s="4"/>
      <c r="B188" s="4"/>
      <c r="C188" s="4"/>
      <c r="D188" s="4"/>
      <c r="E188" s="4"/>
      <c r="F188" s="4"/>
      <c r="G188" s="4"/>
      <c r="H188" s="4"/>
      <c r="I188" s="4"/>
    </row>
    <row r="189" spans="1:9" x14ac:dyDescent="0.2">
      <c r="A189" s="4"/>
      <c r="B189" s="4"/>
      <c r="C189" s="4"/>
      <c r="D189" s="4"/>
      <c r="E189" s="4"/>
      <c r="F189" s="4"/>
      <c r="G189" s="4"/>
      <c r="H189" s="4"/>
      <c r="I189" s="4"/>
    </row>
    <row r="190" spans="1:9" x14ac:dyDescent="0.2">
      <c r="A190" s="4"/>
      <c r="B190" s="4"/>
      <c r="C190" s="4"/>
      <c r="D190" s="4"/>
      <c r="E190" s="4"/>
      <c r="F190" s="4"/>
      <c r="G190" s="4"/>
      <c r="H190" s="4"/>
      <c r="I190" s="4"/>
    </row>
    <row r="191" spans="1:9" x14ac:dyDescent="0.2">
      <c r="A191" s="4"/>
      <c r="B191" s="4"/>
      <c r="C191" s="4"/>
      <c r="D191" s="4"/>
      <c r="E191" s="4"/>
      <c r="F191" s="4"/>
      <c r="G191" s="4"/>
      <c r="H191" s="4"/>
      <c r="I191" s="4"/>
    </row>
    <row r="192" spans="1:9" x14ac:dyDescent="0.2">
      <c r="A192" s="4"/>
      <c r="B192" s="4"/>
      <c r="C192" s="4"/>
      <c r="D192" s="4"/>
      <c r="E192" s="4"/>
      <c r="F192" s="4"/>
      <c r="G192" s="4"/>
      <c r="H192" s="4"/>
      <c r="I192" s="4"/>
    </row>
    <row r="193" spans="1:9" x14ac:dyDescent="0.2">
      <c r="A193" s="4"/>
      <c r="B193" s="4"/>
      <c r="C193" s="4"/>
      <c r="D193" s="4"/>
      <c r="E193" s="4"/>
      <c r="F193" s="4"/>
      <c r="G193" s="4"/>
      <c r="H193" s="4"/>
      <c r="I193" s="4"/>
    </row>
    <row r="194" spans="1:9" x14ac:dyDescent="0.2">
      <c r="A194" s="4"/>
      <c r="B194" s="4"/>
      <c r="C194" s="4"/>
      <c r="D194" s="4"/>
      <c r="E194" s="4"/>
      <c r="F194" s="4"/>
      <c r="G194" s="4"/>
      <c r="H194" s="4"/>
      <c r="I194" s="4"/>
    </row>
    <row r="195" spans="1:9" x14ac:dyDescent="0.2">
      <c r="A195" s="4"/>
      <c r="B195" s="4"/>
      <c r="C195" s="4"/>
      <c r="D195" s="4"/>
      <c r="E195" s="4"/>
      <c r="F195" s="4"/>
      <c r="G195" s="4"/>
      <c r="H195" s="4"/>
      <c r="I195" s="4"/>
    </row>
    <row r="196" spans="1:9" x14ac:dyDescent="0.2">
      <c r="A196" s="4"/>
      <c r="B196" s="4"/>
      <c r="C196" s="4"/>
      <c r="D196" s="4"/>
      <c r="E196" s="4"/>
      <c r="F196" s="4"/>
      <c r="G196" s="4"/>
      <c r="H196" s="4"/>
      <c r="I196" s="4"/>
    </row>
    <row r="197" spans="1:9" x14ac:dyDescent="0.2">
      <c r="A197" s="4"/>
      <c r="B197" s="4"/>
      <c r="C197" s="4"/>
      <c r="D197" s="4"/>
      <c r="E197" s="4"/>
      <c r="F197" s="4"/>
      <c r="G197" s="4"/>
      <c r="H197" s="4"/>
      <c r="I197" s="4"/>
    </row>
    <row r="198" spans="1:9" x14ac:dyDescent="0.2">
      <c r="A198" s="4"/>
      <c r="B198" s="4"/>
      <c r="C198" s="4"/>
      <c r="D198" s="4"/>
      <c r="E198" s="4"/>
      <c r="F198" s="4"/>
      <c r="G198" s="4"/>
      <c r="H198" s="4"/>
      <c r="I198" s="4"/>
    </row>
    <row r="199" spans="1:9" x14ac:dyDescent="0.2">
      <c r="A199" s="4"/>
      <c r="B199" s="4"/>
      <c r="C199" s="4"/>
      <c r="D199" s="4"/>
      <c r="E199" s="4"/>
      <c r="F199" s="4"/>
      <c r="G199" s="4"/>
      <c r="H199" s="4"/>
      <c r="I199" s="4"/>
    </row>
    <row r="200" spans="1:9" x14ac:dyDescent="0.2">
      <c r="A200" s="4"/>
      <c r="B200" s="4"/>
      <c r="C200" s="4"/>
      <c r="D200" s="4"/>
      <c r="E200" s="4"/>
      <c r="F200" s="4"/>
      <c r="G200" s="4"/>
      <c r="H200" s="4"/>
      <c r="I200" s="4"/>
    </row>
    <row r="201" spans="1:9" x14ac:dyDescent="0.2">
      <c r="A201" s="4"/>
      <c r="B201" s="4"/>
      <c r="C201" s="4"/>
      <c r="D201" s="4"/>
      <c r="E201" s="4"/>
      <c r="F201" s="4"/>
      <c r="G201" s="4"/>
      <c r="H201" s="4"/>
      <c r="I201" s="4"/>
    </row>
    <row r="202" spans="1:9" x14ac:dyDescent="0.2">
      <c r="A202" s="4"/>
      <c r="B202" s="4"/>
      <c r="C202" s="4"/>
      <c r="D202" s="4"/>
      <c r="E202" s="4"/>
      <c r="F202" s="4"/>
      <c r="G202" s="4"/>
      <c r="H202" s="4"/>
      <c r="I202" s="4"/>
    </row>
    <row r="203" spans="1:9" x14ac:dyDescent="0.2">
      <c r="A203" s="4"/>
      <c r="B203" s="4"/>
      <c r="C203" s="4"/>
      <c r="D203" s="4"/>
      <c r="E203" s="4"/>
      <c r="F203" s="4"/>
      <c r="G203" s="4"/>
      <c r="H203" s="4"/>
      <c r="I203" s="4"/>
    </row>
    <row r="204" spans="1:9" x14ac:dyDescent="0.2">
      <c r="A204" s="4"/>
      <c r="B204" s="4"/>
      <c r="C204" s="4"/>
      <c r="D204" s="4"/>
      <c r="E204" s="4"/>
      <c r="F204" s="4"/>
      <c r="G204" s="4"/>
      <c r="H204" s="4"/>
      <c r="I204" s="4"/>
    </row>
    <row r="205" spans="1:9" x14ac:dyDescent="0.2">
      <c r="A205" s="4"/>
      <c r="B205" s="4"/>
      <c r="C205" s="4"/>
      <c r="D205" s="4"/>
      <c r="E205" s="4"/>
      <c r="F205" s="4"/>
      <c r="G205" s="4"/>
      <c r="H205" s="4"/>
      <c r="I205" s="4"/>
    </row>
    <row r="206" spans="1:9" x14ac:dyDescent="0.2">
      <c r="A206" s="4"/>
      <c r="B206" s="4"/>
      <c r="C206" s="4"/>
      <c r="D206" s="4"/>
      <c r="E206" s="4"/>
      <c r="F206" s="4"/>
      <c r="G206" s="4"/>
      <c r="H206" s="4"/>
      <c r="I206" s="4"/>
    </row>
    <row r="207" spans="1:9" x14ac:dyDescent="0.2">
      <c r="A207" s="4"/>
      <c r="B207" s="4"/>
      <c r="C207" s="4"/>
      <c r="D207" s="4"/>
      <c r="E207" s="4"/>
      <c r="F207" s="4"/>
      <c r="G207" s="4"/>
      <c r="H207" s="4"/>
      <c r="I207" s="4"/>
    </row>
    <row r="208" spans="1:9" x14ac:dyDescent="0.2">
      <c r="A208" s="4"/>
      <c r="B208" s="4"/>
      <c r="C208" s="4"/>
      <c r="D208" s="4"/>
      <c r="E208" s="4"/>
      <c r="F208" s="4"/>
      <c r="G208" s="4"/>
      <c r="H208" s="4"/>
      <c r="I208" s="4"/>
    </row>
    <row r="209" spans="1:9" x14ac:dyDescent="0.2">
      <c r="A209" s="4"/>
      <c r="B209" s="4"/>
      <c r="C209" s="4"/>
      <c r="D209" s="4"/>
      <c r="E209" s="4"/>
      <c r="F209" s="4"/>
      <c r="G209" s="4"/>
      <c r="H209" s="4"/>
      <c r="I209" s="4"/>
    </row>
    <row r="210" spans="1:9" x14ac:dyDescent="0.2">
      <c r="A210" s="4"/>
      <c r="B210" s="4"/>
      <c r="C210" s="4"/>
      <c r="D210" s="4"/>
      <c r="E210" s="4"/>
      <c r="F210" s="4"/>
      <c r="G210" s="4"/>
      <c r="H210" s="4"/>
      <c r="I210" s="4"/>
    </row>
    <row r="211" spans="1:9" x14ac:dyDescent="0.2">
      <c r="A211" s="4"/>
      <c r="B211" s="4"/>
      <c r="C211" s="4"/>
      <c r="D211" s="4"/>
      <c r="E211" s="4"/>
      <c r="F211" s="4"/>
      <c r="G211" s="4"/>
      <c r="H211" s="4"/>
      <c r="I211" s="4"/>
    </row>
    <row r="212" spans="1:9" x14ac:dyDescent="0.2">
      <c r="A212" s="4"/>
      <c r="B212" s="4"/>
      <c r="C212" s="4"/>
      <c r="D212" s="4"/>
      <c r="E212" s="4"/>
      <c r="F212" s="4"/>
      <c r="G212" s="4"/>
      <c r="H212" s="4"/>
      <c r="I212" s="4"/>
    </row>
    <row r="213" spans="1:9" x14ac:dyDescent="0.2">
      <c r="A213" s="4"/>
      <c r="B213" s="4"/>
      <c r="C213" s="4"/>
      <c r="D213" s="4"/>
      <c r="E213" s="4"/>
      <c r="F213" s="4"/>
      <c r="G213" s="4"/>
      <c r="H213" s="4"/>
      <c r="I213" s="4"/>
    </row>
    <row r="214" spans="1:9" x14ac:dyDescent="0.2">
      <c r="A214" s="4"/>
      <c r="B214" s="4"/>
      <c r="C214" s="4"/>
      <c r="D214" s="4"/>
      <c r="E214" s="4"/>
      <c r="F214" s="4"/>
      <c r="G214" s="4"/>
      <c r="H214" s="4"/>
      <c r="I214" s="4"/>
    </row>
    <row r="215" spans="1:9" x14ac:dyDescent="0.2">
      <c r="A215" s="4"/>
      <c r="B215" s="4"/>
      <c r="C215" s="4"/>
      <c r="D215" s="4"/>
      <c r="E215" s="4"/>
      <c r="F215" s="4"/>
      <c r="G215" s="4"/>
      <c r="H215" s="4"/>
      <c r="I215" s="4"/>
    </row>
    <row r="216" spans="1:9" x14ac:dyDescent="0.2">
      <c r="A216" s="4"/>
      <c r="B216" s="4"/>
      <c r="C216" s="4"/>
      <c r="D216" s="4"/>
      <c r="E216" s="4"/>
      <c r="F216" s="4"/>
      <c r="G216" s="4"/>
      <c r="H216" s="4"/>
      <c r="I216" s="4"/>
    </row>
    <row r="217" spans="1:9" x14ac:dyDescent="0.2">
      <c r="A217" s="4"/>
      <c r="B217" s="4"/>
      <c r="C217" s="4"/>
      <c r="D217" s="4"/>
      <c r="E217" s="4"/>
      <c r="F217" s="4"/>
      <c r="G217" s="4"/>
      <c r="H217" s="4"/>
      <c r="I217" s="4"/>
    </row>
    <row r="218" spans="1:9" x14ac:dyDescent="0.2">
      <c r="A218" s="4"/>
      <c r="B218" s="4"/>
      <c r="C218" s="4"/>
      <c r="D218" s="4"/>
      <c r="E218" s="4"/>
      <c r="F218" s="4"/>
      <c r="G218" s="4"/>
      <c r="H218" s="4"/>
      <c r="I218" s="4"/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Paulus</dc:creator>
  <cp:lastModifiedBy>Lizzie Paulus</cp:lastModifiedBy>
  <dcterms:created xsi:type="dcterms:W3CDTF">2025-06-12T15:44:09Z</dcterms:created>
  <dcterms:modified xsi:type="dcterms:W3CDTF">2026-03-17T21:12:12Z</dcterms:modified>
</cp:coreProperties>
</file>